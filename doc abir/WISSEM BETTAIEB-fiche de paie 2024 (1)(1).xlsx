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doc abir\"/>
    </mc:Choice>
  </mc:AlternateContent>
  <xr:revisionPtr revIDLastSave="0" documentId="13_ncr:1_{110AF6E5-1097-4352-B929-C1196FB79C3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alcul de l'IRPP" sheetId="19" r:id="rId1"/>
    <sheet name="Avrl" sheetId="11" r:id="rId2"/>
    <sheet name="Mai" sheetId="12" r:id="rId3"/>
  </sheets>
  <definedNames>
    <definedName name="_xlnm.Print_Area" localSheetId="1">Avrl!$A$1:$H$54</definedName>
    <definedName name="_xlnm.Print_Area" localSheetId="2">Mai!$A$1:$H$53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2" l="1"/>
  <c r="H34" i="12" s="1"/>
  <c r="H33" i="12"/>
  <c r="H31" i="12"/>
  <c r="O35" i="12"/>
  <c r="D42" i="12" l="1"/>
  <c r="G32" i="12"/>
  <c r="O35" i="11" l="1"/>
  <c r="G30" i="11" l="1"/>
  <c r="H33" i="19" l="1"/>
  <c r="H32" i="19"/>
  <c r="H31" i="19"/>
  <c r="H30" i="19"/>
  <c r="B29" i="19"/>
  <c r="C29" i="19" s="1"/>
  <c r="B28" i="19"/>
  <c r="C28" i="19" s="1"/>
  <c r="C20" i="19"/>
  <c r="C21" i="19" s="1"/>
  <c r="B19" i="19"/>
  <c r="B15" i="19"/>
  <c r="F10" i="19"/>
  <c r="F9" i="19"/>
  <c r="F8" i="19"/>
  <c r="G23" i="19" s="1"/>
  <c r="F7" i="19"/>
  <c r="G22" i="19" s="1"/>
  <c r="F6" i="19"/>
  <c r="G21" i="19" s="1"/>
  <c r="F5" i="19"/>
  <c r="G20" i="19" s="1"/>
  <c r="F4" i="19"/>
  <c r="G19" i="19" s="1"/>
  <c r="G24" i="19" l="1"/>
  <c r="B20" i="19"/>
  <c r="B21" i="19" s="1"/>
  <c r="G17" i="19" s="1"/>
  <c r="F11" i="19"/>
  <c r="B27" i="19"/>
  <c r="G18" i="19" l="1"/>
  <c r="G27" i="19" s="1"/>
  <c r="C27" i="19"/>
  <c r="C30" i="19" s="1"/>
  <c r="B30" i="19"/>
  <c r="G28" i="19" l="1"/>
  <c r="G31" i="19"/>
  <c r="G34" i="19" l="1"/>
  <c r="G32" i="19"/>
  <c r="G33" i="19"/>
  <c r="G36" i="19" l="1"/>
  <c r="B22" i="19" s="1"/>
  <c r="C22" i="19" s="1"/>
  <c r="H35" i="12" l="1"/>
  <c r="G39" i="12" s="1"/>
  <c r="B23" i="19"/>
  <c r="H33" i="11"/>
  <c r="H23" i="19"/>
  <c r="C23" i="19"/>
  <c r="E42" i="12" l="1"/>
  <c r="F42" i="12"/>
  <c r="G42" i="12" s="1"/>
  <c r="H31" i="11"/>
  <c r="G32" i="11" l="1"/>
  <c r="D42" i="11"/>
  <c r="H34" i="11" l="1"/>
  <c r="H35" i="11" s="1"/>
  <c r="G39" i="11" s="1"/>
  <c r="E42" i="11" l="1"/>
  <c r="F42" i="11"/>
  <c r="G4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Auteur:</t>
        </r>
        <r>
          <rPr>
            <sz val="8"/>
            <color indexed="81"/>
            <rFont val="Tahoma"/>
            <family val="2"/>
          </rPr>
          <t xml:space="preserve">
a mettre le chiffre "1" si oui et le chiffre"0" si non</t>
        </r>
      </text>
    </comment>
    <comment ref="B16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Indiquer le Nombre de jours de présence par mois</t>
        </r>
      </text>
    </comment>
    <comment ref="C1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Cet prime diffère selon la convention collective du secteur d'activité</t>
        </r>
      </text>
    </comment>
    <comment ref="C18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cet prime diffère selon la convention et le secteur d'activité </t>
        </r>
      </text>
    </comment>
    <comment ref="E18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Abattement de 10% dans la limite de 2000 dt par an</t>
        </r>
      </text>
    </comment>
    <comment ref="G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Auteur:</t>
        </r>
        <r>
          <rPr>
            <sz val="8"/>
            <color indexed="81"/>
            <rFont val="Tahoma"/>
            <family val="2"/>
          </rPr>
          <t xml:space="preserve">
Ce Montant n'exède pas 2000 dinars par ans</t>
        </r>
      </text>
    </comment>
    <comment ref="E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100 dt pour le premier enfant
</t>
        </r>
      </text>
    </comment>
    <comment ref="E2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100 dt pour le 2 éme enfant
</t>
        </r>
      </text>
    </comment>
    <comment ref="E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100 dt pour le 3 éme enfant
</t>
        </r>
      </text>
    </comment>
    <comment ref="E2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100 dt pour le 4 éme enfant
</t>
        </r>
      </text>
    </comment>
    <comment ref="E2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600,000 pour tout enfant qui etudie en superieur sans bource on ce limitant sur les 4 er enfant.
1000,000 pour sur tout enfant handicapé.
Autres Déduction: Sur Les Intéréts Bancaire suite a un crédit immobiliée suivant lois de fianance 2016 </t>
        </r>
      </text>
    </comment>
    <comment ref="E2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si vous avez un emprunt bancaire immobiliée vous pouvez déduire la somme des intéréts bancaire annuelle dans cet rubrique a sor que vous n'avez pas de maison ou votre femme enregistrée </t>
        </r>
      </text>
    </comment>
    <comment ref="G25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Montant à déduire de la base imposable suite a un emprunt Immobiliée </t>
        </r>
      </text>
    </comment>
    <comment ref="B3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à changer le nempbre de mois se salaire par année selon votre choix </t>
        </r>
      </text>
    </comment>
  </commentList>
</comments>
</file>

<file path=xl/sharedStrings.xml><?xml version="1.0" encoding="utf-8"?>
<sst xmlns="http://schemas.openxmlformats.org/spreadsheetml/2006/main" count="143" uniqueCount="95">
  <si>
    <t xml:space="preserve">                                                                                                                       DU :                       AU :</t>
  </si>
  <si>
    <r>
      <t xml:space="preserve">NIVEAU : </t>
    </r>
    <r>
      <rPr>
        <b/>
        <sz val="12"/>
        <rFont val="Times New Roman"/>
        <family val="1"/>
      </rPr>
      <t>1</t>
    </r>
  </si>
  <si>
    <r>
      <t>ECHELLE :</t>
    </r>
    <r>
      <rPr>
        <b/>
        <sz val="12"/>
        <rFont val="Times New Roman"/>
        <family val="1"/>
      </rPr>
      <t xml:space="preserve">1  </t>
    </r>
  </si>
  <si>
    <t>Designation</t>
  </si>
  <si>
    <t>Nbre</t>
  </si>
  <si>
    <t>Base</t>
  </si>
  <si>
    <t>Part salariale</t>
  </si>
  <si>
    <t>de jours</t>
  </si>
  <si>
    <t>Gain</t>
  </si>
  <si>
    <t>Retenue</t>
  </si>
  <si>
    <t>SALAIRE DE BASE</t>
  </si>
  <si>
    <t>INDEMNITE DE LOGEMENT</t>
  </si>
  <si>
    <t>INDEMNITE SPECIFIQUE</t>
  </si>
  <si>
    <t>INDEMNITE KILOMETRIQUE</t>
  </si>
  <si>
    <t>Total BRUT</t>
  </si>
  <si>
    <t>SALAIRE I MPOSABLE</t>
  </si>
  <si>
    <t xml:space="preserve">IRPP </t>
  </si>
  <si>
    <t>Total Cotisations</t>
  </si>
  <si>
    <t>ALLOCATION FAMILIALE</t>
  </si>
  <si>
    <t>-</t>
  </si>
  <si>
    <t>NET A PAYER</t>
  </si>
  <si>
    <t>CUMUL</t>
  </si>
  <si>
    <t>Salaire brut</t>
  </si>
  <si>
    <t>charges</t>
  </si>
  <si>
    <t>Salaire Net</t>
  </si>
  <si>
    <t>Pour vous aider à faire valoir vos droits, conserver ce bulletin de paie sans limitation</t>
  </si>
  <si>
    <r>
      <t>NBRE JRS.TRAV.</t>
    </r>
    <r>
      <rPr>
        <b/>
        <sz val="12"/>
        <rFont val="Times New Roman"/>
        <family val="1"/>
      </rPr>
      <t>20</t>
    </r>
  </si>
  <si>
    <r>
      <t>CATEGORIE :</t>
    </r>
    <r>
      <rPr>
        <b/>
        <sz val="12"/>
        <rFont val="Times New Roman"/>
        <family val="1"/>
      </rPr>
      <t>1</t>
    </r>
  </si>
  <si>
    <t>Retenue CNSS</t>
  </si>
  <si>
    <t xml:space="preserve">RETENUE Assurance Groupe </t>
  </si>
  <si>
    <t>Le GERANT</t>
  </si>
  <si>
    <t>Contrubition Sociale de solidarité 1%</t>
  </si>
  <si>
    <t>TABLEAU CALCUL DE L'IRPP en 2018</t>
  </si>
  <si>
    <t>Situation Familiale</t>
  </si>
  <si>
    <t>"1" si marié</t>
  </si>
  <si>
    <t>1er enfant</t>
  </si>
  <si>
    <t>"1" si oui</t>
  </si>
  <si>
    <t xml:space="preserve">2ème enfant </t>
  </si>
  <si>
    <t xml:space="preserve">3ème enfant </t>
  </si>
  <si>
    <t xml:space="preserve">4ème enfant </t>
  </si>
  <si>
    <t xml:space="preserve">Handicapé </t>
  </si>
  <si>
    <t>Etudiant Non Boursié (Age moin 25 ans)</t>
  </si>
  <si>
    <t>Déductions</t>
  </si>
  <si>
    <t>Salaire de Base</t>
  </si>
  <si>
    <t>Récapitulatif</t>
  </si>
  <si>
    <t>Annuel</t>
  </si>
  <si>
    <t>Mensuel</t>
  </si>
  <si>
    <t>Présence en Nombre de jours</t>
  </si>
  <si>
    <t>CALCUL DE L'IMPOT</t>
  </si>
  <si>
    <t>Prime De Transport</t>
  </si>
  <si>
    <t>Salaire imposable (1)</t>
  </si>
  <si>
    <t>Autres Primes Liées</t>
  </si>
  <si>
    <t>Abattement 10%</t>
  </si>
  <si>
    <t>Salaire De Base</t>
  </si>
  <si>
    <t>Déduction Chef de Famille</t>
  </si>
  <si>
    <t>Déduction 1er enfant à charge</t>
  </si>
  <si>
    <t>Imposable</t>
  </si>
  <si>
    <t>Déduction 2em enfant à charge</t>
  </si>
  <si>
    <t>Retenue /Salaire</t>
  </si>
  <si>
    <t>Déduction 3em enfant à charge</t>
  </si>
  <si>
    <t>Salaire net à Payer</t>
  </si>
  <si>
    <t>Déduction 4em enfant à charge</t>
  </si>
  <si>
    <t>Autres déductions</t>
  </si>
  <si>
    <t xml:space="preserve">Intéréts Emprunt Déductible </t>
  </si>
  <si>
    <t>Récap CNSS</t>
  </si>
  <si>
    <t>Mois</t>
  </si>
  <si>
    <t>Trimestre</t>
  </si>
  <si>
    <t>Retenues légales</t>
  </si>
  <si>
    <t>Salaire imposable (2)</t>
  </si>
  <si>
    <t>Charges patronales</t>
  </si>
  <si>
    <t>Accident de travail</t>
  </si>
  <si>
    <t>Totaux</t>
  </si>
  <si>
    <t>000,000   -------&gt;   5 000,000</t>
  </si>
  <si>
    <t>5 000,001 -------&gt;  20 000,000</t>
  </si>
  <si>
    <t>Nombre mois de salaires par année</t>
  </si>
  <si>
    <t>20 000,001-------&gt; 30 000,000</t>
  </si>
  <si>
    <t>30 000,001-------&gt; 50 000,000</t>
  </si>
  <si>
    <t>50 000,001 et plus</t>
  </si>
  <si>
    <t>Prime non imposable et non cotisable</t>
  </si>
  <si>
    <t>CLOUDIA SOLUTIONS</t>
  </si>
  <si>
    <t>Adresse : Cyber parc régional-Bureau N°04 – 2éme étage –Cité abbes TATAOUINE</t>
  </si>
  <si>
    <t>Site WEB : www.Cloudiasolutions.com</t>
  </si>
  <si>
    <t>Identifiant Unique : 16645221T</t>
  </si>
  <si>
    <t>Ahmed LAHMAR</t>
  </si>
  <si>
    <t>Période AVRIL 2024</t>
  </si>
  <si>
    <t>Mr :Oussama ZINA</t>
  </si>
  <si>
    <t>CNSS: 1286895907</t>
  </si>
  <si>
    <t>FONCTION :Ing de developpement</t>
  </si>
  <si>
    <t>MOIS DE : Avril 2024</t>
  </si>
  <si>
    <t>A</t>
  </si>
  <si>
    <t>CNSS:--</t>
  </si>
  <si>
    <t>Mr :Wissem BETTAIEB</t>
  </si>
  <si>
    <t xml:space="preserve">FONCTION :Ing
d’Etude et Développement Java </t>
  </si>
  <si>
    <t>MOIS DE : NOVEMBRE 2024</t>
  </si>
  <si>
    <t>Période NOVEMBRE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</si>
</sst>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;[Red]0.000"/>
    <numFmt numFmtId="166" formatCode="[$-40C]mmmm\-yy;@"/>
    <numFmt numFmtId="167" formatCode="#,##0.000"/>
    <numFmt numFmtId="168" formatCode="0;[Red]0"/>
  </numFmts>
  <fonts count="3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  <charset val="178"/>
    </font>
    <font>
      <sz val="12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b/>
      <sz val="9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b/>
      <u/>
      <sz val="28"/>
      <color indexed="20"/>
      <name val="Gill Sans MT"/>
      <family val="2"/>
    </font>
    <font>
      <sz val="12"/>
      <name val="Gill Sans MT"/>
      <family val="2"/>
    </font>
    <font>
      <b/>
      <sz val="12"/>
      <name val="Gill Sans MT"/>
      <family val="2"/>
    </font>
    <font>
      <sz val="12"/>
      <color indexed="10"/>
      <name val="Gill Sans MT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.5"/>
      <color rgb="FF398F99"/>
      <name val="Tahoma"/>
      <family val="2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.5"/>
      <color theme="9" tint="-0.24997711111789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3"/>
      </bottom>
      <diagonal/>
    </border>
  </borders>
  <cellStyleXfs count="3">
    <xf numFmtId="0" fontId="0" fillId="0" borderId="0"/>
    <xf numFmtId="0" fontId="16" fillId="0" borderId="0"/>
    <xf numFmtId="0" fontId="28" fillId="0" borderId="0" applyNumberFormat="0" applyFill="0" applyBorder="0" applyAlignment="0" applyProtection="0"/>
  </cellStyleXfs>
  <cellXfs count="1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164" fontId="8" fillId="0" borderId="12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164" fontId="8" fillId="0" borderId="11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right" vertical="center"/>
    </xf>
    <xf numFmtId="0" fontId="8" fillId="2" borderId="9" xfId="0" applyFont="1" applyFill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164" fontId="2" fillId="0" borderId="0" xfId="0" applyNumberFormat="1" applyFont="1" applyAlignment="1">
      <alignment vertical="center"/>
    </xf>
    <xf numFmtId="165" fontId="5" fillId="0" borderId="11" xfId="0" applyNumberFormat="1" applyFont="1" applyBorder="1" applyAlignment="1">
      <alignment horizontal="right" vertical="center"/>
    </xf>
    <xf numFmtId="164" fontId="5" fillId="0" borderId="11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8" fillId="0" borderId="0" xfId="1" applyFont="1"/>
    <xf numFmtId="166" fontId="18" fillId="0" borderId="0" xfId="1" applyNumberFormat="1" applyFont="1"/>
    <xf numFmtId="167" fontId="18" fillId="0" borderId="9" xfId="1" applyNumberFormat="1" applyFont="1" applyBorder="1" applyAlignment="1">
      <alignment horizontal="left"/>
    </xf>
    <xf numFmtId="167" fontId="18" fillId="0" borderId="4" xfId="1" applyNumberFormat="1" applyFont="1" applyBorder="1" applyAlignment="1">
      <alignment horizontal="left"/>
    </xf>
    <xf numFmtId="167" fontId="18" fillId="0" borderId="13" xfId="1" applyNumberFormat="1" applyFont="1" applyBorder="1" applyAlignment="1">
      <alignment horizontal="right"/>
    </xf>
    <xf numFmtId="167" fontId="18" fillId="0" borderId="5" xfId="1" applyNumberFormat="1" applyFont="1" applyBorder="1" applyAlignment="1">
      <alignment horizontal="left"/>
    </xf>
    <xf numFmtId="3" fontId="18" fillId="3" borderId="9" xfId="1" applyNumberFormat="1" applyFont="1" applyFill="1" applyBorder="1"/>
    <xf numFmtId="167" fontId="18" fillId="0" borderId="5" xfId="1" applyNumberFormat="1" applyFont="1" applyBorder="1"/>
    <xf numFmtId="167" fontId="18" fillId="0" borderId="0" xfId="1" applyNumberFormat="1" applyFont="1"/>
    <xf numFmtId="167" fontId="18" fillId="0" borderId="9" xfId="1" applyNumberFormat="1" applyFont="1" applyBorder="1"/>
    <xf numFmtId="0" fontId="18" fillId="0" borderId="5" xfId="1" applyFont="1" applyBorder="1" applyAlignment="1">
      <alignment horizontal="left"/>
    </xf>
    <xf numFmtId="164" fontId="18" fillId="0" borderId="13" xfId="1" applyNumberFormat="1" applyFont="1" applyBorder="1" applyAlignment="1">
      <alignment horizontal="right"/>
    </xf>
    <xf numFmtId="167" fontId="18" fillId="0" borderId="14" xfId="1" applyNumberFormat="1" applyFont="1" applyBorder="1"/>
    <xf numFmtId="164" fontId="18" fillId="0" borderId="7" xfId="1" applyNumberFormat="1" applyFont="1" applyBorder="1" applyAlignment="1">
      <alignment horizontal="right"/>
    </xf>
    <xf numFmtId="0" fontId="18" fillId="0" borderId="8" xfId="1" applyFont="1" applyBorder="1" applyAlignment="1">
      <alignment horizontal="left"/>
    </xf>
    <xf numFmtId="3" fontId="19" fillId="0" borderId="9" xfId="1" applyNumberFormat="1" applyFont="1" applyBorder="1"/>
    <xf numFmtId="3" fontId="18" fillId="0" borderId="0" xfId="1" applyNumberFormat="1" applyFont="1"/>
    <xf numFmtId="167" fontId="19" fillId="4" borderId="4" xfId="1" applyNumberFormat="1" applyFont="1" applyFill="1" applyBorder="1" applyAlignment="1">
      <alignment horizontal="center"/>
    </xf>
    <xf numFmtId="167" fontId="19" fillId="4" borderId="9" xfId="1" applyNumberFormat="1" applyFont="1" applyFill="1" applyBorder="1" applyAlignment="1">
      <alignment horizontal="center"/>
    </xf>
    <xf numFmtId="167" fontId="18" fillId="3" borderId="9" xfId="1" applyNumberFormat="1" applyFont="1" applyFill="1" applyBorder="1"/>
    <xf numFmtId="0" fontId="18" fillId="0" borderId="9" xfId="1" applyFont="1" applyBorder="1"/>
    <xf numFmtId="164" fontId="18" fillId="0" borderId="9" xfId="1" applyNumberFormat="1" applyFont="1" applyBorder="1"/>
    <xf numFmtId="164" fontId="18" fillId="3" borderId="9" xfId="1" applyNumberFormat="1" applyFont="1" applyFill="1" applyBorder="1"/>
    <xf numFmtId="3" fontId="18" fillId="0" borderId="1" xfId="1" applyNumberFormat="1" applyFont="1" applyBorder="1" applyAlignment="1">
      <alignment horizontal="left"/>
    </xf>
    <xf numFmtId="3" fontId="18" fillId="0" borderId="2" xfId="1" applyNumberFormat="1" applyFont="1" applyBorder="1" applyAlignment="1">
      <alignment horizontal="center"/>
    </xf>
    <xf numFmtId="167" fontId="18" fillId="0" borderId="15" xfId="1" applyNumberFormat="1" applyFont="1" applyBorder="1"/>
    <xf numFmtId="3" fontId="18" fillId="0" borderId="10" xfId="1" applyNumberFormat="1" applyFont="1" applyBorder="1" applyAlignment="1">
      <alignment horizontal="left"/>
    </xf>
    <xf numFmtId="3" fontId="18" fillId="0" borderId="0" xfId="1" applyNumberFormat="1" applyFont="1" applyAlignment="1">
      <alignment horizontal="center"/>
    </xf>
    <xf numFmtId="167" fontId="18" fillId="5" borderId="11" xfId="1" applyNumberFormat="1" applyFont="1" applyFill="1" applyBorder="1"/>
    <xf numFmtId="0" fontId="19" fillId="0" borderId="9" xfId="1" applyFont="1" applyBorder="1"/>
    <xf numFmtId="167" fontId="19" fillId="0" borderId="9" xfId="1" applyNumberFormat="1" applyFont="1" applyBorder="1"/>
    <xf numFmtId="167" fontId="18" fillId="0" borderId="11" xfId="1" applyNumberFormat="1" applyFont="1" applyBorder="1"/>
    <xf numFmtId="167" fontId="18" fillId="6" borderId="9" xfId="1" applyNumberFormat="1" applyFont="1" applyFill="1" applyBorder="1"/>
    <xf numFmtId="167" fontId="18" fillId="7" borderId="9" xfId="1" applyNumberFormat="1" applyFont="1" applyFill="1" applyBorder="1"/>
    <xf numFmtId="10" fontId="18" fillId="0" borderId="0" xfId="1" applyNumberFormat="1" applyFont="1"/>
    <xf numFmtId="167" fontId="20" fillId="0" borderId="0" xfId="1" applyNumberFormat="1" applyFont="1" applyAlignment="1">
      <alignment horizontal="right"/>
    </xf>
    <xf numFmtId="3" fontId="18" fillId="0" borderId="7" xfId="1" applyNumberFormat="1" applyFont="1" applyBorder="1" applyAlignment="1">
      <alignment horizontal="center"/>
    </xf>
    <xf numFmtId="3" fontId="18" fillId="0" borderId="4" xfId="1" applyNumberFormat="1" applyFont="1" applyBorder="1" applyAlignment="1">
      <alignment horizontal="center"/>
    </xf>
    <xf numFmtId="3" fontId="18" fillId="0" borderId="13" xfId="1" applyNumberFormat="1" applyFont="1" applyBorder="1" applyAlignment="1">
      <alignment horizontal="center"/>
    </xf>
    <xf numFmtId="3" fontId="18" fillId="0" borderId="1" xfId="1" applyNumberFormat="1" applyFont="1" applyBorder="1" applyAlignment="1">
      <alignment horizontal="center"/>
    </xf>
    <xf numFmtId="3" fontId="18" fillId="0" borderId="2" xfId="1" applyNumberFormat="1" applyFont="1" applyBorder="1" applyAlignment="1">
      <alignment horizontal="left"/>
    </xf>
    <xf numFmtId="0" fontId="19" fillId="0" borderId="9" xfId="1" applyFont="1" applyBorder="1" applyAlignment="1">
      <alignment horizontal="right"/>
    </xf>
    <xf numFmtId="0" fontId="18" fillId="0" borderId="0" xfId="1" applyFont="1" applyAlignment="1">
      <alignment horizontal="left"/>
    </xf>
    <xf numFmtId="3" fontId="18" fillId="0" borderId="10" xfId="1" applyNumberFormat="1" applyFont="1" applyBorder="1"/>
    <xf numFmtId="167" fontId="19" fillId="8" borderId="4" xfId="1" applyNumberFormat="1" applyFont="1" applyFill="1" applyBorder="1" applyAlignment="1">
      <alignment horizontal="center"/>
    </xf>
    <xf numFmtId="3" fontId="19" fillId="8" borderId="9" xfId="1" applyNumberFormat="1" applyFont="1" applyFill="1" applyBorder="1" applyAlignment="1">
      <alignment horizontal="center"/>
    </xf>
    <xf numFmtId="3" fontId="18" fillId="0" borderId="6" xfId="1" applyNumberFormat="1" applyFont="1" applyBorder="1" applyAlignment="1">
      <alignment horizontal="left"/>
    </xf>
    <xf numFmtId="0" fontId="18" fillId="0" borderId="7" xfId="1" applyFont="1" applyBorder="1" applyAlignment="1">
      <alignment horizontal="left"/>
    </xf>
    <xf numFmtId="0" fontId="19" fillId="0" borderId="0" xfId="1" applyFont="1"/>
    <xf numFmtId="164" fontId="19" fillId="0" borderId="0" xfId="1" applyNumberFormat="1" applyFont="1"/>
    <xf numFmtId="3" fontId="19" fillId="0" borderId="4" xfId="1" applyNumberFormat="1" applyFont="1" applyBorder="1" applyAlignment="1">
      <alignment horizontal="center"/>
    </xf>
    <xf numFmtId="3" fontId="19" fillId="0" borderId="5" xfId="1" applyNumberFormat="1" applyFont="1" applyBorder="1" applyAlignment="1">
      <alignment horizontal="center"/>
    </xf>
    <xf numFmtId="167" fontId="19" fillId="0" borderId="14" xfId="1" applyNumberFormat="1" applyFont="1" applyBorder="1"/>
    <xf numFmtId="164" fontId="18" fillId="0" borderId="0" xfId="1" applyNumberFormat="1" applyFont="1"/>
    <xf numFmtId="167" fontId="19" fillId="0" borderId="0" xfId="1" applyNumberFormat="1" applyFont="1"/>
    <xf numFmtId="0" fontId="27" fillId="0" borderId="0" xfId="0" applyFont="1"/>
    <xf numFmtId="0" fontId="0" fillId="0" borderId="16" xfId="0" applyBorder="1"/>
    <xf numFmtId="168" fontId="0" fillId="0" borderId="16" xfId="0" applyNumberFormat="1" applyBorder="1"/>
    <xf numFmtId="165" fontId="0" fillId="0" borderId="16" xfId="0" applyNumberFormat="1" applyBorder="1"/>
    <xf numFmtId="0" fontId="30" fillId="0" borderId="0" xfId="0" applyFont="1" applyAlignment="1">
      <alignment vertical="center"/>
    </xf>
    <xf numFmtId="0" fontId="17" fillId="0" borderId="0" xfId="1" applyFont="1" applyAlignment="1">
      <alignment horizontal="center" vertical="center" shrinkToFit="1"/>
    </xf>
    <xf numFmtId="3" fontId="19" fillId="4" borderId="4" xfId="1" applyNumberFormat="1" applyFont="1" applyFill="1" applyBorder="1" applyAlignment="1">
      <alignment horizontal="center"/>
    </xf>
    <xf numFmtId="3" fontId="19" fillId="4" borderId="13" xfId="1" applyNumberFormat="1" applyFont="1" applyFill="1" applyBorder="1" applyAlignment="1">
      <alignment horizontal="center"/>
    </xf>
    <xf numFmtId="3" fontId="19" fillId="4" borderId="5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164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8" fillId="0" borderId="0" xfId="2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/>
  </cellXfs>
  <cellStyles count="3">
    <cellStyle name="Lien hypertexte" xfId="2" builtinId="8"/>
    <cellStyle name="Normal" xfId="0" builtinId="0"/>
    <cellStyle name="Normal_Autres IRPP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3</xdr:col>
      <xdr:colOff>542925</xdr:colOff>
      <xdr:row>19</xdr:row>
      <xdr:rowOff>76200</xdr:rowOff>
    </xdr:from>
    <xdr:to>
      <xdr:col>7</xdr:col>
      <xdr:colOff>723900</xdr:colOff>
      <xdr:row>22</xdr:row>
      <xdr:rowOff>53975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51175" y="3663950"/>
          <a:ext cx="3213100" cy="565150"/>
        </a:xfrm>
        <a:prstGeom prst="rect">
          <a:avLst/>
        </a:prstGeom>
        <a:solidFill>
          <a:srgbClr val="C0C0C0"/>
        </a:solidFill>
        <a:ln w="9525">
          <a:solidFill>
            <a:srgbClr val="C0C0C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N°  COMPTE </a:t>
          </a:r>
          <a:endParaRPr lang="fr-FR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CCB/CCP :</a:t>
          </a: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04038124004229960265 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2171700" y="1076325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 editAs="oneCell">
    <xdr:from>
      <xdr:col>7</xdr:col>
      <xdr:colOff>174625</xdr:colOff>
      <xdr:row>0</xdr:row>
      <xdr:rowOff>127000</xdr:rowOff>
    </xdr:from>
    <xdr:to>
      <xdr:col>7</xdr:col>
      <xdr:colOff>702310</xdr:colOff>
      <xdr:row>3</xdr:row>
      <xdr:rowOff>107315</xdr:rowOff>
    </xdr:to>
    <xdr:pic>
      <xdr:nvPicPr>
        <xdr:cNvPr id="60" name="image1.jpe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0" y="127000"/>
          <a:ext cx="527685" cy="504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3</xdr:col>
      <xdr:colOff>542925</xdr:colOff>
      <xdr:row>19</xdr:row>
      <xdr:rowOff>76200</xdr:rowOff>
    </xdr:from>
    <xdr:to>
      <xdr:col>7</xdr:col>
      <xdr:colOff>723900</xdr:colOff>
      <xdr:row>22</xdr:row>
      <xdr:rowOff>53975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Arrowheads="1"/>
        </xdr:cNvSpPr>
      </xdr:nvSpPr>
      <xdr:spPr bwMode="auto">
        <a:xfrm>
          <a:off x="3048000" y="3629025"/>
          <a:ext cx="3209925" cy="558800"/>
        </a:xfrm>
        <a:prstGeom prst="rect">
          <a:avLst/>
        </a:prstGeom>
        <a:solidFill>
          <a:srgbClr val="C0C0C0"/>
        </a:solidFill>
        <a:ln w="9525">
          <a:solidFill>
            <a:srgbClr val="C0C0C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N°  COMPTE </a:t>
          </a:r>
          <a:endParaRPr lang="fr-FR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CCB/CCP :</a:t>
          </a: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04038124004229960265 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3</xdr:col>
      <xdr:colOff>542925</xdr:colOff>
      <xdr:row>19</xdr:row>
      <xdr:rowOff>76200</xdr:rowOff>
    </xdr:from>
    <xdr:to>
      <xdr:col>7</xdr:col>
      <xdr:colOff>723900</xdr:colOff>
      <xdr:row>22</xdr:row>
      <xdr:rowOff>53975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3048000" y="3629025"/>
          <a:ext cx="3209925" cy="558800"/>
        </a:xfrm>
        <a:prstGeom prst="rect">
          <a:avLst/>
        </a:prstGeom>
        <a:solidFill>
          <a:srgbClr val="C0C0C0"/>
        </a:solidFill>
        <a:ln w="9525">
          <a:solidFill>
            <a:srgbClr val="C0C0C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N°  COMPTE </a:t>
          </a:r>
          <a:endParaRPr lang="fr-FR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CCB/CCP : --</a:t>
          </a: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 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>
    <xdr:from>
      <xdr:col>2</xdr:col>
      <xdr:colOff>647700</xdr:colOff>
      <xdr:row>6</xdr:row>
      <xdr:rowOff>104775</xdr:rowOff>
    </xdr:from>
    <xdr:to>
      <xdr:col>5</xdr:col>
      <xdr:colOff>469900</xdr:colOff>
      <xdr:row>9</xdr:row>
      <xdr:rowOff>69850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2171700" y="1123950"/>
          <a:ext cx="2136775" cy="5080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Bulletin de paie</a:t>
          </a:r>
        </a:p>
      </xdr:txBody>
    </xdr:sp>
    <xdr:clientData/>
  </xdr:twoCellAnchor>
  <xdr:twoCellAnchor editAs="oneCell">
    <xdr:from>
      <xdr:col>5</xdr:col>
      <xdr:colOff>603250</xdr:colOff>
      <xdr:row>1</xdr:row>
      <xdr:rowOff>31750</xdr:rowOff>
    </xdr:from>
    <xdr:to>
      <xdr:col>7</xdr:col>
      <xdr:colOff>757849</xdr:colOff>
      <xdr:row>3</xdr:row>
      <xdr:rowOff>23399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148DA3-6DF1-40C0-B88C-F13FA16DA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1350" y="196850"/>
          <a:ext cx="1932599" cy="353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oudiasolution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loudia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2"/>
  <sheetViews>
    <sheetView topLeftCell="A14" workbookViewId="0">
      <selection activeCell="I20" sqref="I20"/>
    </sheetView>
  </sheetViews>
  <sheetFormatPr baseColWidth="10" defaultColWidth="13" defaultRowHeight="18.5" x14ac:dyDescent="0.55000000000000004"/>
  <cols>
    <col min="1" max="1" width="48.26953125" style="46" customWidth="1"/>
    <col min="2" max="3" width="14.26953125" style="46" customWidth="1"/>
    <col min="4" max="4" width="4.26953125" style="46" customWidth="1"/>
    <col min="5" max="5" width="20" style="46" customWidth="1"/>
    <col min="6" max="6" width="11.453125" style="46" customWidth="1"/>
    <col min="7" max="7" width="22.81640625" style="46" bestFit="1" customWidth="1"/>
    <col min="8" max="8" width="13.1796875" style="46" bestFit="1" customWidth="1"/>
    <col min="9" max="16384" width="13" style="46"/>
  </cols>
  <sheetData>
    <row r="2" spans="1:7" ht="41" x14ac:dyDescent="0.55000000000000004">
      <c r="A2" s="106" t="s">
        <v>32</v>
      </c>
      <c r="B2" s="106"/>
      <c r="C2" s="106"/>
      <c r="D2" s="106"/>
      <c r="E2" s="106"/>
      <c r="F2" s="106"/>
      <c r="G2" s="106"/>
    </row>
    <row r="3" spans="1:7" x14ac:dyDescent="0.55000000000000004">
      <c r="A3" s="47"/>
    </row>
    <row r="4" spans="1:7" x14ac:dyDescent="0.55000000000000004">
      <c r="A4" s="48" t="s">
        <v>33</v>
      </c>
      <c r="B4" s="49" t="s">
        <v>34</v>
      </c>
      <c r="C4" s="50">
        <v>150</v>
      </c>
      <c r="D4" s="51"/>
      <c r="E4" s="52">
        <v>0</v>
      </c>
      <c r="F4" s="53">
        <f>IF(E4=1,150,0)</f>
        <v>0</v>
      </c>
      <c r="G4" s="54"/>
    </row>
    <row r="5" spans="1:7" x14ac:dyDescent="0.55000000000000004">
      <c r="A5" s="55" t="s">
        <v>35</v>
      </c>
      <c r="B5" s="49" t="s">
        <v>36</v>
      </c>
      <c r="C5" s="50">
        <v>90</v>
      </c>
      <c r="D5" s="51"/>
      <c r="E5" s="52">
        <v>0</v>
      </c>
      <c r="F5" s="53">
        <f>IF(E5=1,90,0)</f>
        <v>0</v>
      </c>
      <c r="G5" s="54"/>
    </row>
    <row r="6" spans="1:7" x14ac:dyDescent="0.55000000000000004">
      <c r="A6" s="55" t="s">
        <v>37</v>
      </c>
      <c r="B6" s="49" t="s">
        <v>36</v>
      </c>
      <c r="C6" s="50">
        <v>75</v>
      </c>
      <c r="D6" s="56"/>
      <c r="E6" s="52">
        <v>0</v>
      </c>
      <c r="F6" s="53">
        <f>IF(E6=1,75,0)</f>
        <v>0</v>
      </c>
      <c r="G6" s="54"/>
    </row>
    <row r="7" spans="1:7" x14ac:dyDescent="0.55000000000000004">
      <c r="A7" s="55" t="s">
        <v>38</v>
      </c>
      <c r="B7" s="49" t="s">
        <v>36</v>
      </c>
      <c r="C7" s="50">
        <v>60</v>
      </c>
      <c r="D7" s="56"/>
      <c r="E7" s="52">
        <v>0</v>
      </c>
      <c r="F7" s="53">
        <f>IF(E7=1,60,0)</f>
        <v>0</v>
      </c>
      <c r="G7" s="54"/>
    </row>
    <row r="8" spans="1:7" x14ac:dyDescent="0.55000000000000004">
      <c r="A8" s="55" t="s">
        <v>39</v>
      </c>
      <c r="B8" s="49" t="s">
        <v>36</v>
      </c>
      <c r="C8" s="50">
        <v>45</v>
      </c>
      <c r="D8" s="56"/>
      <c r="E8" s="52">
        <v>0</v>
      </c>
      <c r="F8" s="53">
        <f>IF(E8=1,45,0)</f>
        <v>0</v>
      </c>
      <c r="G8" s="54"/>
    </row>
    <row r="9" spans="1:7" x14ac:dyDescent="0.55000000000000004">
      <c r="A9" s="55" t="s">
        <v>40</v>
      </c>
      <c r="B9" s="49" t="s">
        <v>36</v>
      </c>
      <c r="C9" s="57">
        <v>1200</v>
      </c>
      <c r="D9" s="56"/>
      <c r="E9" s="52">
        <v>0</v>
      </c>
      <c r="F9" s="53">
        <f>IF(E9=1,1200,0)</f>
        <v>0</v>
      </c>
      <c r="G9" s="54"/>
    </row>
    <row r="10" spans="1:7" x14ac:dyDescent="0.55000000000000004">
      <c r="A10" s="58" t="s">
        <v>41</v>
      </c>
      <c r="B10" s="49" t="s">
        <v>36</v>
      </c>
      <c r="C10" s="59">
        <v>1000</v>
      </c>
      <c r="D10" s="60"/>
      <c r="E10" s="52">
        <v>0</v>
      </c>
      <c r="F10" s="53">
        <f>IF(E10=1,1000,0)</f>
        <v>0</v>
      </c>
      <c r="G10" s="54"/>
    </row>
    <row r="11" spans="1:7" x14ac:dyDescent="0.55000000000000004">
      <c r="A11" s="54"/>
      <c r="B11" s="54"/>
      <c r="C11" s="54"/>
      <c r="D11" s="54"/>
      <c r="E11" s="61" t="s">
        <v>42</v>
      </c>
      <c r="F11" s="55">
        <f>SUM(F4:F10)</f>
        <v>0</v>
      </c>
      <c r="G11" s="54"/>
    </row>
    <row r="12" spans="1:7" x14ac:dyDescent="0.55000000000000004">
      <c r="A12" s="54" t="s">
        <v>43</v>
      </c>
      <c r="B12" s="54"/>
      <c r="C12" s="54"/>
      <c r="D12" s="54"/>
      <c r="E12" s="62"/>
      <c r="F12" s="54"/>
      <c r="G12" s="54"/>
    </row>
    <row r="13" spans="1:7" x14ac:dyDescent="0.55000000000000004">
      <c r="A13" s="54"/>
      <c r="B13" s="54"/>
      <c r="C13" s="54"/>
      <c r="D13" s="54"/>
      <c r="E13" s="62"/>
      <c r="F13" s="54"/>
      <c r="G13" s="54"/>
    </row>
    <row r="14" spans="1:7" x14ac:dyDescent="0.55000000000000004">
      <c r="A14" s="63" t="s">
        <v>44</v>
      </c>
      <c r="B14" s="64" t="s">
        <v>45</v>
      </c>
      <c r="C14" s="64" t="s">
        <v>46</v>
      </c>
      <c r="D14" s="54"/>
      <c r="E14" s="62"/>
      <c r="F14" s="54"/>
      <c r="G14" s="54"/>
    </row>
    <row r="15" spans="1:7" x14ac:dyDescent="0.55000000000000004">
      <c r="A15" s="55" t="s">
        <v>22</v>
      </c>
      <c r="B15" s="55">
        <f>C15*12</f>
        <v>36000</v>
      </c>
      <c r="C15" s="65">
        <v>3000</v>
      </c>
      <c r="D15" s="54"/>
    </row>
    <row r="16" spans="1:7" x14ac:dyDescent="0.55000000000000004">
      <c r="A16" s="55" t="s">
        <v>47</v>
      </c>
      <c r="B16" s="55"/>
      <c r="C16" s="65"/>
      <c r="D16" s="54"/>
      <c r="E16" s="107" t="s">
        <v>48</v>
      </c>
      <c r="F16" s="108"/>
      <c r="G16" s="109"/>
    </row>
    <row r="17" spans="1:8" x14ac:dyDescent="0.55000000000000004">
      <c r="A17" s="66" t="s">
        <v>49</v>
      </c>
      <c r="B17" s="67"/>
      <c r="C17" s="68"/>
      <c r="D17" s="54"/>
      <c r="E17" s="69" t="s">
        <v>50</v>
      </c>
      <c r="F17" s="70"/>
      <c r="G17" s="71">
        <f>B21</f>
        <v>32695.200000000001</v>
      </c>
    </row>
    <row r="18" spans="1:8" x14ac:dyDescent="0.55000000000000004">
      <c r="A18" s="66" t="s">
        <v>51</v>
      </c>
      <c r="B18" s="67"/>
      <c r="C18" s="68"/>
      <c r="D18" s="54"/>
      <c r="E18" s="72" t="s">
        <v>52</v>
      </c>
      <c r="F18" s="73"/>
      <c r="G18" s="74">
        <f>IF((G17*0.1)&lt;2000,(G17*0.1),2000)</f>
        <v>2000</v>
      </c>
    </row>
    <row r="19" spans="1:8" x14ac:dyDescent="0.55000000000000004">
      <c r="A19" s="75" t="s">
        <v>53</v>
      </c>
      <c r="B19" s="76">
        <f>C19*B32</f>
        <v>36000</v>
      </c>
      <c r="C19" s="76">
        <v>3000</v>
      </c>
      <c r="D19" s="54"/>
      <c r="E19" s="72" t="s">
        <v>54</v>
      </c>
      <c r="F19" s="73"/>
      <c r="G19" s="77">
        <f>F4</f>
        <v>0</v>
      </c>
    </row>
    <row r="20" spans="1:8" x14ac:dyDescent="0.55000000000000004">
      <c r="A20" s="78" t="s">
        <v>28</v>
      </c>
      <c r="B20" s="78">
        <f>B19*9.18%</f>
        <v>3304.7999999999997</v>
      </c>
      <c r="C20" s="78">
        <f>+C19*9.18%</f>
        <v>275.39999999999998</v>
      </c>
      <c r="D20" s="54"/>
      <c r="E20" s="72" t="s">
        <v>55</v>
      </c>
      <c r="F20" s="73"/>
      <c r="G20" s="77">
        <f t="shared" ref="G20:G23" si="0">F5</f>
        <v>0</v>
      </c>
    </row>
    <row r="21" spans="1:8" x14ac:dyDescent="0.55000000000000004">
      <c r="A21" s="55" t="s">
        <v>56</v>
      </c>
      <c r="B21" s="55">
        <f>+B19-B20</f>
        <v>32695.200000000001</v>
      </c>
      <c r="C21" s="55">
        <f>+C19-C20</f>
        <v>2724.6</v>
      </c>
      <c r="D21" s="54"/>
      <c r="E21" s="72" t="s">
        <v>57</v>
      </c>
      <c r="F21" s="73"/>
      <c r="G21" s="77">
        <f t="shared" si="0"/>
        <v>0</v>
      </c>
    </row>
    <row r="22" spans="1:8" x14ac:dyDescent="0.55000000000000004">
      <c r="A22" s="79" t="s">
        <v>58</v>
      </c>
      <c r="B22" s="79">
        <f>G36</f>
        <v>9803.4719999999998</v>
      </c>
      <c r="C22" s="79">
        <f>B22/B32</f>
        <v>816.95600000000002</v>
      </c>
      <c r="D22" s="54"/>
      <c r="E22" s="72" t="s">
        <v>59</v>
      </c>
      <c r="F22" s="73"/>
      <c r="G22" s="77">
        <f t="shared" si="0"/>
        <v>0</v>
      </c>
    </row>
    <row r="23" spans="1:8" x14ac:dyDescent="0.55000000000000004">
      <c r="A23" s="76" t="s">
        <v>60</v>
      </c>
      <c r="B23" s="76">
        <f>B21-B22</f>
        <v>22891.728000000003</v>
      </c>
      <c r="C23" s="76">
        <f>+C21-C22</f>
        <v>1907.6439999999998</v>
      </c>
      <c r="D23" s="54"/>
      <c r="E23" s="72" t="s">
        <v>61</v>
      </c>
      <c r="F23" s="73"/>
      <c r="G23" s="77">
        <f t="shared" si="0"/>
        <v>0</v>
      </c>
      <c r="H23" s="80">
        <f>C22/C21</f>
        <v>0.29984438082654336</v>
      </c>
    </row>
    <row r="24" spans="1:8" x14ac:dyDescent="0.55000000000000004">
      <c r="A24" s="81"/>
      <c r="B24" s="81"/>
      <c r="C24" s="81"/>
      <c r="D24" s="54"/>
      <c r="E24" s="72" t="s">
        <v>62</v>
      </c>
      <c r="F24" s="73"/>
      <c r="G24" s="77">
        <f>F9+F10</f>
        <v>0</v>
      </c>
    </row>
    <row r="25" spans="1:8" x14ac:dyDescent="0.55000000000000004">
      <c r="A25" s="81"/>
      <c r="B25" s="81"/>
      <c r="C25" s="81"/>
      <c r="D25" s="54"/>
      <c r="E25" s="72" t="s">
        <v>63</v>
      </c>
      <c r="F25" s="73"/>
      <c r="G25" s="77"/>
    </row>
    <row r="26" spans="1:8" x14ac:dyDescent="0.55000000000000004">
      <c r="A26" s="64" t="s">
        <v>64</v>
      </c>
      <c r="B26" s="64" t="s">
        <v>65</v>
      </c>
      <c r="C26" s="64" t="s">
        <v>66</v>
      </c>
      <c r="D26" s="54"/>
      <c r="E26" s="72"/>
      <c r="F26" s="82"/>
      <c r="G26" s="58"/>
    </row>
    <row r="27" spans="1:8" x14ac:dyDescent="0.55000000000000004">
      <c r="A27" s="55" t="s">
        <v>67</v>
      </c>
      <c r="B27" s="55">
        <f>+C20</f>
        <v>275.39999999999998</v>
      </c>
      <c r="C27" s="55">
        <f>+B27*3</f>
        <v>826.19999999999993</v>
      </c>
      <c r="D27" s="54"/>
      <c r="E27" s="83" t="s">
        <v>68</v>
      </c>
      <c r="F27" s="84"/>
      <c r="G27" s="55">
        <f>G17-G18-G19-G20-G21-G22-G23-G24</f>
        <v>30695.200000000001</v>
      </c>
    </row>
    <row r="28" spans="1:8" x14ac:dyDescent="0.55000000000000004">
      <c r="A28" s="55" t="s">
        <v>69</v>
      </c>
      <c r="B28" s="55">
        <f>C19*16.75%</f>
        <v>502.50000000000006</v>
      </c>
      <c r="C28" s="55">
        <f>+B28*3</f>
        <v>1507.5000000000002</v>
      </c>
      <c r="D28" s="54"/>
      <c r="E28" s="85"/>
      <c r="F28" s="70"/>
      <c r="G28" s="71">
        <f>ROUNDUP(G27,0)</f>
        <v>30696</v>
      </c>
    </row>
    <row r="29" spans="1:8" x14ac:dyDescent="0.55000000000000004">
      <c r="A29" s="55" t="s">
        <v>70</v>
      </c>
      <c r="B29" s="55">
        <f>+C19*2.5%</f>
        <v>75</v>
      </c>
      <c r="C29" s="55">
        <f>+B29*3</f>
        <v>225</v>
      </c>
      <c r="E29" s="69"/>
      <c r="F29" s="86"/>
      <c r="G29" s="71"/>
    </row>
    <row r="30" spans="1:8" x14ac:dyDescent="0.55000000000000004">
      <c r="A30" s="87" t="s">
        <v>71</v>
      </c>
      <c r="B30" s="76">
        <f>SUM(B27:B29)</f>
        <v>852.90000000000009</v>
      </c>
      <c r="C30" s="76">
        <f>SUM(C27:C29)</f>
        <v>2558.7000000000003</v>
      </c>
      <c r="E30" s="72" t="s">
        <v>72</v>
      </c>
      <c r="F30" s="88"/>
      <c r="G30" s="77">
        <v>0</v>
      </c>
      <c r="H30" s="46">
        <f>5000*1%</f>
        <v>50</v>
      </c>
    </row>
    <row r="31" spans="1:8" x14ac:dyDescent="0.55000000000000004">
      <c r="E31" s="89" t="s">
        <v>73</v>
      </c>
      <c r="F31" s="88"/>
      <c r="G31" s="77">
        <f>(G27-5000)*26%</f>
        <v>6680.7520000000004</v>
      </c>
      <c r="H31" s="46">
        <f>15000*27%</f>
        <v>4050.0000000000005</v>
      </c>
    </row>
    <row r="32" spans="1:8" x14ac:dyDescent="0.55000000000000004">
      <c r="A32" s="90" t="s">
        <v>74</v>
      </c>
      <c r="B32" s="91">
        <v>12</v>
      </c>
      <c r="C32" s="54"/>
      <c r="E32" s="72" t="s">
        <v>75</v>
      </c>
      <c r="F32" s="88"/>
      <c r="G32" s="77">
        <f>IF(G28&gt;20000,IF(G28&lt;30000,(G28-20000)*0.28,2900),0)</f>
        <v>2900</v>
      </c>
      <c r="H32" s="46">
        <f>10000*29%</f>
        <v>2900</v>
      </c>
    </row>
    <row r="33" spans="1:8" x14ac:dyDescent="0.55000000000000004">
      <c r="E33" s="72" t="s">
        <v>76</v>
      </c>
      <c r="F33" s="88"/>
      <c r="G33" s="77">
        <f>IF(G28&gt;30000,IF(G28&lt;50000,(G28-30000)*0.32,6600),0)</f>
        <v>222.72</v>
      </c>
      <c r="H33" s="46">
        <f>20000*33%</f>
        <v>6600</v>
      </c>
    </row>
    <row r="34" spans="1:8" x14ac:dyDescent="0.55000000000000004">
      <c r="E34" s="92" t="s">
        <v>77</v>
      </c>
      <c r="F34" s="88"/>
      <c r="G34" s="77">
        <f>IF(G28&lt;50000,0,(G28-50000)*0.35)</f>
        <v>0</v>
      </c>
      <c r="H34" s="54"/>
    </row>
    <row r="35" spans="1:8" x14ac:dyDescent="0.55000000000000004">
      <c r="E35" s="92"/>
      <c r="F35" s="93"/>
      <c r="G35" s="58"/>
    </row>
    <row r="36" spans="1:8" x14ac:dyDescent="0.55000000000000004">
      <c r="A36" s="94"/>
      <c r="B36" s="94"/>
      <c r="C36" s="94"/>
      <c r="D36" s="95"/>
      <c r="E36" s="96" t="s">
        <v>71</v>
      </c>
      <c r="F36" s="97"/>
      <c r="G36" s="98">
        <f>SUM(G29:G35)</f>
        <v>9803.4719999999998</v>
      </c>
    </row>
    <row r="37" spans="1:8" x14ac:dyDescent="0.55000000000000004">
      <c r="D37" s="99"/>
    </row>
    <row r="38" spans="1:8" x14ac:dyDescent="0.55000000000000004">
      <c r="D38" s="99"/>
    </row>
    <row r="42" spans="1:8" x14ac:dyDescent="0.55000000000000004">
      <c r="E42" s="100"/>
      <c r="F42" s="94"/>
      <c r="G42" s="94"/>
    </row>
  </sheetData>
  <mergeCells count="2">
    <mergeCell ref="A2:G2"/>
    <mergeCell ref="E16:G1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view="pageBreakPreview" topLeftCell="A16" zoomScale="60" zoomScaleNormal="100" workbookViewId="0">
      <selection activeCell="A16" sqref="A1:XFD1048576"/>
    </sheetView>
  </sheetViews>
  <sheetFormatPr baseColWidth="10" defaultRowHeight="15.5" x14ac:dyDescent="0.35"/>
  <cols>
    <col min="1" max="1" width="11.453125" style="5" customWidth="1"/>
    <col min="2" max="2" width="11.453125" style="4" customWidth="1"/>
    <col min="3" max="3" width="14.7265625" style="4" customWidth="1"/>
    <col min="4" max="4" width="11.54296875" style="4" customWidth="1"/>
    <col min="5" max="5" width="8.453125" style="42" customWidth="1"/>
    <col min="6" max="6" width="11.453125" style="42"/>
    <col min="7" max="7" width="14" style="5" customWidth="1"/>
    <col min="8" max="8" width="13.54296875" style="5" customWidth="1"/>
    <col min="9" max="242" width="11.453125" style="5"/>
    <col min="243" max="243" width="11.1796875" style="5" customWidth="1"/>
    <col min="244" max="244" width="11.453125" style="5"/>
    <col min="245" max="245" width="8.453125" style="5" customWidth="1"/>
    <col min="246" max="498" width="11.453125" style="5"/>
    <col min="499" max="499" width="11.1796875" style="5" customWidth="1"/>
    <col min="500" max="500" width="11.453125" style="5"/>
    <col min="501" max="501" width="8.453125" style="5" customWidth="1"/>
    <col min="502" max="754" width="11.453125" style="5"/>
    <col min="755" max="755" width="11.1796875" style="5" customWidth="1"/>
    <col min="756" max="756" width="11.453125" style="5"/>
    <col min="757" max="757" width="8.453125" style="5" customWidth="1"/>
    <col min="758" max="1010" width="11.453125" style="5"/>
    <col min="1011" max="1011" width="11.1796875" style="5" customWidth="1"/>
    <col min="1012" max="1012" width="11.453125" style="5"/>
    <col min="1013" max="1013" width="8.453125" style="5" customWidth="1"/>
    <col min="1014" max="1266" width="11.453125" style="5"/>
    <col min="1267" max="1267" width="11.1796875" style="5" customWidth="1"/>
    <col min="1268" max="1268" width="11.453125" style="5"/>
    <col min="1269" max="1269" width="8.453125" style="5" customWidth="1"/>
    <col min="1270" max="1522" width="11.453125" style="5"/>
    <col min="1523" max="1523" width="11.1796875" style="5" customWidth="1"/>
    <col min="1524" max="1524" width="11.453125" style="5"/>
    <col min="1525" max="1525" width="8.453125" style="5" customWidth="1"/>
    <col min="1526" max="1778" width="11.453125" style="5"/>
    <col min="1779" max="1779" width="11.1796875" style="5" customWidth="1"/>
    <col min="1780" max="1780" width="11.453125" style="5"/>
    <col min="1781" max="1781" width="8.453125" style="5" customWidth="1"/>
    <col min="1782" max="2034" width="11.453125" style="5"/>
    <col min="2035" max="2035" width="11.1796875" style="5" customWidth="1"/>
    <col min="2036" max="2036" width="11.453125" style="5"/>
    <col min="2037" max="2037" width="8.453125" style="5" customWidth="1"/>
    <col min="2038" max="2290" width="11.453125" style="5"/>
    <col min="2291" max="2291" width="11.1796875" style="5" customWidth="1"/>
    <col min="2292" max="2292" width="11.453125" style="5"/>
    <col min="2293" max="2293" width="8.453125" style="5" customWidth="1"/>
    <col min="2294" max="2546" width="11.453125" style="5"/>
    <col min="2547" max="2547" width="11.1796875" style="5" customWidth="1"/>
    <col min="2548" max="2548" width="11.453125" style="5"/>
    <col min="2549" max="2549" width="8.453125" style="5" customWidth="1"/>
    <col min="2550" max="2802" width="11.453125" style="5"/>
    <col min="2803" max="2803" width="11.1796875" style="5" customWidth="1"/>
    <col min="2804" max="2804" width="11.453125" style="5"/>
    <col min="2805" max="2805" width="8.453125" style="5" customWidth="1"/>
    <col min="2806" max="3058" width="11.453125" style="5"/>
    <col min="3059" max="3059" width="11.1796875" style="5" customWidth="1"/>
    <col min="3060" max="3060" width="11.453125" style="5"/>
    <col min="3061" max="3061" width="8.453125" style="5" customWidth="1"/>
    <col min="3062" max="3314" width="11.453125" style="5"/>
    <col min="3315" max="3315" width="11.1796875" style="5" customWidth="1"/>
    <col min="3316" max="3316" width="11.453125" style="5"/>
    <col min="3317" max="3317" width="8.453125" style="5" customWidth="1"/>
    <col min="3318" max="3570" width="11.453125" style="5"/>
    <col min="3571" max="3571" width="11.1796875" style="5" customWidth="1"/>
    <col min="3572" max="3572" width="11.453125" style="5"/>
    <col min="3573" max="3573" width="8.453125" style="5" customWidth="1"/>
    <col min="3574" max="3826" width="11.453125" style="5"/>
    <col min="3827" max="3827" width="11.1796875" style="5" customWidth="1"/>
    <col min="3828" max="3828" width="11.453125" style="5"/>
    <col min="3829" max="3829" width="8.453125" style="5" customWidth="1"/>
    <col min="3830" max="4082" width="11.453125" style="5"/>
    <col min="4083" max="4083" width="11.1796875" style="5" customWidth="1"/>
    <col min="4084" max="4084" width="11.453125" style="5"/>
    <col min="4085" max="4085" width="8.453125" style="5" customWidth="1"/>
    <col min="4086" max="4338" width="11.453125" style="5"/>
    <col min="4339" max="4339" width="11.1796875" style="5" customWidth="1"/>
    <col min="4340" max="4340" width="11.453125" style="5"/>
    <col min="4341" max="4341" width="8.453125" style="5" customWidth="1"/>
    <col min="4342" max="4594" width="11.453125" style="5"/>
    <col min="4595" max="4595" width="11.1796875" style="5" customWidth="1"/>
    <col min="4596" max="4596" width="11.453125" style="5"/>
    <col min="4597" max="4597" width="8.453125" style="5" customWidth="1"/>
    <col min="4598" max="4850" width="11.453125" style="5"/>
    <col min="4851" max="4851" width="11.1796875" style="5" customWidth="1"/>
    <col min="4852" max="4852" width="11.453125" style="5"/>
    <col min="4853" max="4853" width="8.453125" style="5" customWidth="1"/>
    <col min="4854" max="5106" width="11.453125" style="5"/>
    <col min="5107" max="5107" width="11.1796875" style="5" customWidth="1"/>
    <col min="5108" max="5108" width="11.453125" style="5"/>
    <col min="5109" max="5109" width="8.453125" style="5" customWidth="1"/>
    <col min="5110" max="5362" width="11.453125" style="5"/>
    <col min="5363" max="5363" width="11.1796875" style="5" customWidth="1"/>
    <col min="5364" max="5364" width="11.453125" style="5"/>
    <col min="5365" max="5365" width="8.453125" style="5" customWidth="1"/>
    <col min="5366" max="5618" width="11.453125" style="5"/>
    <col min="5619" max="5619" width="11.1796875" style="5" customWidth="1"/>
    <col min="5620" max="5620" width="11.453125" style="5"/>
    <col min="5621" max="5621" width="8.453125" style="5" customWidth="1"/>
    <col min="5622" max="5874" width="11.453125" style="5"/>
    <col min="5875" max="5875" width="11.1796875" style="5" customWidth="1"/>
    <col min="5876" max="5876" width="11.453125" style="5"/>
    <col min="5877" max="5877" width="8.453125" style="5" customWidth="1"/>
    <col min="5878" max="6130" width="11.453125" style="5"/>
    <col min="6131" max="6131" width="11.1796875" style="5" customWidth="1"/>
    <col min="6132" max="6132" width="11.453125" style="5"/>
    <col min="6133" max="6133" width="8.453125" style="5" customWidth="1"/>
    <col min="6134" max="6386" width="11.453125" style="5"/>
    <col min="6387" max="6387" width="11.1796875" style="5" customWidth="1"/>
    <col min="6388" max="6388" width="11.453125" style="5"/>
    <col min="6389" max="6389" width="8.453125" style="5" customWidth="1"/>
    <col min="6390" max="6642" width="11.453125" style="5"/>
    <col min="6643" max="6643" width="11.1796875" style="5" customWidth="1"/>
    <col min="6644" max="6644" width="11.453125" style="5"/>
    <col min="6645" max="6645" width="8.453125" style="5" customWidth="1"/>
    <col min="6646" max="6898" width="11.453125" style="5"/>
    <col min="6899" max="6899" width="11.1796875" style="5" customWidth="1"/>
    <col min="6900" max="6900" width="11.453125" style="5"/>
    <col min="6901" max="6901" width="8.453125" style="5" customWidth="1"/>
    <col min="6902" max="7154" width="11.453125" style="5"/>
    <col min="7155" max="7155" width="11.1796875" style="5" customWidth="1"/>
    <col min="7156" max="7156" width="11.453125" style="5"/>
    <col min="7157" max="7157" width="8.453125" style="5" customWidth="1"/>
    <col min="7158" max="7410" width="11.453125" style="5"/>
    <col min="7411" max="7411" width="11.1796875" style="5" customWidth="1"/>
    <col min="7412" max="7412" width="11.453125" style="5"/>
    <col min="7413" max="7413" width="8.453125" style="5" customWidth="1"/>
    <col min="7414" max="7666" width="11.453125" style="5"/>
    <col min="7667" max="7667" width="11.1796875" style="5" customWidth="1"/>
    <col min="7668" max="7668" width="11.453125" style="5"/>
    <col min="7669" max="7669" width="8.453125" style="5" customWidth="1"/>
    <col min="7670" max="7922" width="11.453125" style="5"/>
    <col min="7923" max="7923" width="11.1796875" style="5" customWidth="1"/>
    <col min="7924" max="7924" width="11.453125" style="5"/>
    <col min="7925" max="7925" width="8.453125" style="5" customWidth="1"/>
    <col min="7926" max="8178" width="11.453125" style="5"/>
    <col min="8179" max="8179" width="11.1796875" style="5" customWidth="1"/>
    <col min="8180" max="8180" width="11.453125" style="5"/>
    <col min="8181" max="8181" width="8.453125" style="5" customWidth="1"/>
    <col min="8182" max="8434" width="11.453125" style="5"/>
    <col min="8435" max="8435" width="11.1796875" style="5" customWidth="1"/>
    <col min="8436" max="8436" width="11.453125" style="5"/>
    <col min="8437" max="8437" width="8.453125" style="5" customWidth="1"/>
    <col min="8438" max="8690" width="11.453125" style="5"/>
    <col min="8691" max="8691" width="11.1796875" style="5" customWidth="1"/>
    <col min="8692" max="8692" width="11.453125" style="5"/>
    <col min="8693" max="8693" width="8.453125" style="5" customWidth="1"/>
    <col min="8694" max="8946" width="11.453125" style="5"/>
    <col min="8947" max="8947" width="11.1796875" style="5" customWidth="1"/>
    <col min="8948" max="8948" width="11.453125" style="5"/>
    <col min="8949" max="8949" width="8.453125" style="5" customWidth="1"/>
    <col min="8950" max="9202" width="11.453125" style="5"/>
    <col min="9203" max="9203" width="11.1796875" style="5" customWidth="1"/>
    <col min="9204" max="9204" width="11.453125" style="5"/>
    <col min="9205" max="9205" width="8.453125" style="5" customWidth="1"/>
    <col min="9206" max="9458" width="11.453125" style="5"/>
    <col min="9459" max="9459" width="11.1796875" style="5" customWidth="1"/>
    <col min="9460" max="9460" width="11.453125" style="5"/>
    <col min="9461" max="9461" width="8.453125" style="5" customWidth="1"/>
    <col min="9462" max="9714" width="11.453125" style="5"/>
    <col min="9715" max="9715" width="11.1796875" style="5" customWidth="1"/>
    <col min="9716" max="9716" width="11.453125" style="5"/>
    <col min="9717" max="9717" width="8.453125" style="5" customWidth="1"/>
    <col min="9718" max="9970" width="11.453125" style="5"/>
    <col min="9971" max="9971" width="11.1796875" style="5" customWidth="1"/>
    <col min="9972" max="9972" width="11.453125" style="5"/>
    <col min="9973" max="9973" width="8.453125" style="5" customWidth="1"/>
    <col min="9974" max="10226" width="11.453125" style="5"/>
    <col min="10227" max="10227" width="11.1796875" style="5" customWidth="1"/>
    <col min="10228" max="10228" width="11.453125" style="5"/>
    <col min="10229" max="10229" width="8.453125" style="5" customWidth="1"/>
    <col min="10230" max="10482" width="11.453125" style="5"/>
    <col min="10483" max="10483" width="11.1796875" style="5" customWidth="1"/>
    <col min="10484" max="10484" width="11.453125" style="5"/>
    <col min="10485" max="10485" width="8.453125" style="5" customWidth="1"/>
    <col min="10486" max="10738" width="11.453125" style="5"/>
    <col min="10739" max="10739" width="11.1796875" style="5" customWidth="1"/>
    <col min="10740" max="10740" width="11.453125" style="5"/>
    <col min="10741" max="10741" width="8.453125" style="5" customWidth="1"/>
    <col min="10742" max="10994" width="11.453125" style="5"/>
    <col min="10995" max="10995" width="11.1796875" style="5" customWidth="1"/>
    <col min="10996" max="10996" width="11.453125" style="5"/>
    <col min="10997" max="10997" width="8.453125" style="5" customWidth="1"/>
    <col min="10998" max="11250" width="11.453125" style="5"/>
    <col min="11251" max="11251" width="11.1796875" style="5" customWidth="1"/>
    <col min="11252" max="11252" width="11.453125" style="5"/>
    <col min="11253" max="11253" width="8.453125" style="5" customWidth="1"/>
    <col min="11254" max="11506" width="11.453125" style="5"/>
    <col min="11507" max="11507" width="11.1796875" style="5" customWidth="1"/>
    <col min="11508" max="11508" width="11.453125" style="5"/>
    <col min="11509" max="11509" width="8.453125" style="5" customWidth="1"/>
    <col min="11510" max="11762" width="11.453125" style="5"/>
    <col min="11763" max="11763" width="11.1796875" style="5" customWidth="1"/>
    <col min="11764" max="11764" width="11.453125" style="5"/>
    <col min="11765" max="11765" width="8.453125" style="5" customWidth="1"/>
    <col min="11766" max="12018" width="11.453125" style="5"/>
    <col min="12019" max="12019" width="11.1796875" style="5" customWidth="1"/>
    <col min="12020" max="12020" width="11.453125" style="5"/>
    <col min="12021" max="12021" width="8.453125" style="5" customWidth="1"/>
    <col min="12022" max="12274" width="11.453125" style="5"/>
    <col min="12275" max="12275" width="11.1796875" style="5" customWidth="1"/>
    <col min="12276" max="12276" width="11.453125" style="5"/>
    <col min="12277" max="12277" width="8.453125" style="5" customWidth="1"/>
    <col min="12278" max="12530" width="11.453125" style="5"/>
    <col min="12531" max="12531" width="11.1796875" style="5" customWidth="1"/>
    <col min="12532" max="12532" width="11.453125" style="5"/>
    <col min="12533" max="12533" width="8.453125" style="5" customWidth="1"/>
    <col min="12534" max="12786" width="11.453125" style="5"/>
    <col min="12787" max="12787" width="11.1796875" style="5" customWidth="1"/>
    <col min="12788" max="12788" width="11.453125" style="5"/>
    <col min="12789" max="12789" width="8.453125" style="5" customWidth="1"/>
    <col min="12790" max="13042" width="11.453125" style="5"/>
    <col min="13043" max="13043" width="11.1796875" style="5" customWidth="1"/>
    <col min="13044" max="13044" width="11.453125" style="5"/>
    <col min="13045" max="13045" width="8.453125" style="5" customWidth="1"/>
    <col min="13046" max="13298" width="11.453125" style="5"/>
    <col min="13299" max="13299" width="11.1796875" style="5" customWidth="1"/>
    <col min="13300" max="13300" width="11.453125" style="5"/>
    <col min="13301" max="13301" width="8.453125" style="5" customWidth="1"/>
    <col min="13302" max="13554" width="11.453125" style="5"/>
    <col min="13555" max="13555" width="11.1796875" style="5" customWidth="1"/>
    <col min="13556" max="13556" width="11.453125" style="5"/>
    <col min="13557" max="13557" width="8.453125" style="5" customWidth="1"/>
    <col min="13558" max="13810" width="11.453125" style="5"/>
    <col min="13811" max="13811" width="11.1796875" style="5" customWidth="1"/>
    <col min="13812" max="13812" width="11.453125" style="5"/>
    <col min="13813" max="13813" width="8.453125" style="5" customWidth="1"/>
    <col min="13814" max="14066" width="11.453125" style="5"/>
    <col min="14067" max="14067" width="11.1796875" style="5" customWidth="1"/>
    <col min="14068" max="14068" width="11.453125" style="5"/>
    <col min="14069" max="14069" width="8.453125" style="5" customWidth="1"/>
    <col min="14070" max="14322" width="11.453125" style="5"/>
    <col min="14323" max="14323" width="11.1796875" style="5" customWidth="1"/>
    <col min="14324" max="14324" width="11.453125" style="5"/>
    <col min="14325" max="14325" width="8.453125" style="5" customWidth="1"/>
    <col min="14326" max="14578" width="11.453125" style="5"/>
    <col min="14579" max="14579" width="11.1796875" style="5" customWidth="1"/>
    <col min="14580" max="14580" width="11.453125" style="5"/>
    <col min="14581" max="14581" width="8.453125" style="5" customWidth="1"/>
    <col min="14582" max="14834" width="11.453125" style="5"/>
    <col min="14835" max="14835" width="11.1796875" style="5" customWidth="1"/>
    <col min="14836" max="14836" width="11.453125" style="5"/>
    <col min="14837" max="14837" width="8.453125" style="5" customWidth="1"/>
    <col min="14838" max="15090" width="11.453125" style="5"/>
    <col min="15091" max="15091" width="11.1796875" style="5" customWidth="1"/>
    <col min="15092" max="15092" width="11.453125" style="5"/>
    <col min="15093" max="15093" width="8.453125" style="5" customWidth="1"/>
    <col min="15094" max="15346" width="11.453125" style="5"/>
    <col min="15347" max="15347" width="11.1796875" style="5" customWidth="1"/>
    <col min="15348" max="15348" width="11.453125" style="5"/>
    <col min="15349" max="15349" width="8.453125" style="5" customWidth="1"/>
    <col min="15350" max="15602" width="11.453125" style="5"/>
    <col min="15603" max="15603" width="11.1796875" style="5" customWidth="1"/>
    <col min="15604" max="15604" width="11.453125" style="5"/>
    <col min="15605" max="15605" width="8.453125" style="5" customWidth="1"/>
    <col min="15606" max="15858" width="11.453125" style="5"/>
    <col min="15859" max="15859" width="11.1796875" style="5" customWidth="1"/>
    <col min="15860" max="15860" width="11.453125" style="5"/>
    <col min="15861" max="15861" width="8.453125" style="5" customWidth="1"/>
    <col min="15862" max="16114" width="11.453125" style="5"/>
    <col min="16115" max="16115" width="11.1796875" style="5" customWidth="1"/>
    <col min="16116" max="16116" width="11.453125" style="5"/>
    <col min="16117" max="16117" width="8.453125" style="5" customWidth="1"/>
    <col min="16118" max="16384" width="11.453125" style="5"/>
  </cols>
  <sheetData>
    <row r="1" spans="1:8" s="2" customFormat="1" ht="13" x14ac:dyDescent="0.35">
      <c r="B1" s="1"/>
      <c r="C1" s="1"/>
      <c r="D1" s="1"/>
    </row>
    <row r="2" spans="1:8" s="2" customFormat="1" x14ac:dyDescent="0.3">
      <c r="A2" s="101" t="s">
        <v>79</v>
      </c>
      <c r="B2" s="1"/>
      <c r="C2" s="1"/>
      <c r="D2" s="1"/>
    </row>
    <row r="3" spans="1:8" s="2" customFormat="1" ht="13" x14ac:dyDescent="0.35">
      <c r="A3" s="3"/>
      <c r="B3" s="3"/>
      <c r="C3" s="3"/>
      <c r="D3" s="3"/>
    </row>
    <row r="4" spans="1:8" s="2" customFormat="1" ht="13" x14ac:dyDescent="0.35">
      <c r="A4" s="1"/>
      <c r="B4" s="1"/>
      <c r="C4" s="1"/>
      <c r="D4" s="1"/>
    </row>
    <row r="5" spans="1:8" s="2" customFormat="1" ht="13" x14ac:dyDescent="0.35">
      <c r="A5" s="1"/>
      <c r="B5" s="1"/>
      <c r="C5" s="1"/>
      <c r="D5" s="1"/>
    </row>
    <row r="6" spans="1:8" s="2" customFormat="1" ht="13" x14ac:dyDescent="0.35">
      <c r="A6" s="1"/>
      <c r="B6" s="1"/>
      <c r="C6" s="1"/>
      <c r="D6" s="1"/>
    </row>
    <row r="7" spans="1:8" s="2" customFormat="1" ht="13" x14ac:dyDescent="0.35">
      <c r="A7" s="1"/>
      <c r="B7" s="1"/>
      <c r="C7" s="1"/>
      <c r="D7" s="1"/>
    </row>
    <row r="8" spans="1:8" x14ac:dyDescent="0.35">
      <c r="A8" s="4"/>
      <c r="D8" s="42"/>
      <c r="F8" s="5"/>
    </row>
    <row r="9" spans="1:8" x14ac:dyDescent="0.35">
      <c r="E9" s="6"/>
      <c r="F9" s="6"/>
      <c r="G9" s="7"/>
      <c r="H9" s="7"/>
    </row>
    <row r="10" spans="1:8" x14ac:dyDescent="0.35">
      <c r="E10" s="6"/>
      <c r="F10" s="6"/>
      <c r="G10" s="7"/>
      <c r="H10" s="7"/>
    </row>
    <row r="11" spans="1:8" x14ac:dyDescent="0.35">
      <c r="B11" s="8"/>
      <c r="E11" s="6"/>
      <c r="F11" s="6"/>
      <c r="G11" s="7"/>
      <c r="H11" s="7"/>
    </row>
    <row r="12" spans="1:8" x14ac:dyDescent="0.35">
      <c r="B12" s="8"/>
      <c r="E12" s="6"/>
      <c r="F12" s="6"/>
      <c r="G12" s="7"/>
      <c r="H12" s="7"/>
    </row>
    <row r="13" spans="1:8" x14ac:dyDescent="0.35">
      <c r="B13" s="8"/>
      <c r="E13" s="6"/>
      <c r="F13" s="6"/>
      <c r="G13" s="7"/>
      <c r="H13" s="7"/>
    </row>
    <row r="14" spans="1:8" x14ac:dyDescent="0.35">
      <c r="B14" s="8" t="s">
        <v>0</v>
      </c>
      <c r="E14" s="9"/>
      <c r="F14" s="41" t="s">
        <v>88</v>
      </c>
      <c r="G14" s="10"/>
      <c r="H14" s="7"/>
    </row>
    <row r="15" spans="1:8" x14ac:dyDescent="0.35">
      <c r="A15" s="8" t="s">
        <v>86</v>
      </c>
      <c r="C15" s="5"/>
      <c r="F15" s="5"/>
      <c r="G15" s="7"/>
      <c r="H15" s="7"/>
    </row>
    <row r="16" spans="1:8" x14ac:dyDescent="0.35">
      <c r="A16" s="8" t="s">
        <v>89</v>
      </c>
      <c r="C16" s="5"/>
      <c r="E16" s="6"/>
      <c r="F16" s="6"/>
      <c r="G16" s="7"/>
      <c r="H16" s="7"/>
    </row>
    <row r="17" spans="1:8" x14ac:dyDescent="0.35">
      <c r="A17" s="8" t="s">
        <v>27</v>
      </c>
      <c r="C17" s="5"/>
      <c r="D17" s="11" t="s">
        <v>85</v>
      </c>
      <c r="E17" s="12"/>
      <c r="F17" s="13"/>
      <c r="G17" s="14"/>
      <c r="H17" s="7"/>
    </row>
    <row r="18" spans="1:8" x14ac:dyDescent="0.35">
      <c r="A18" s="8" t="s">
        <v>2</v>
      </c>
      <c r="C18" s="5"/>
      <c r="E18" s="6"/>
      <c r="F18" s="6"/>
      <c r="G18" s="7"/>
      <c r="H18" s="7"/>
    </row>
    <row r="19" spans="1:8" x14ac:dyDescent="0.35">
      <c r="A19" s="8" t="s">
        <v>87</v>
      </c>
      <c r="C19" s="5"/>
      <c r="E19" s="6"/>
      <c r="F19" s="6"/>
      <c r="G19" s="7"/>
      <c r="H19" s="7"/>
    </row>
    <row r="20" spans="1:8" x14ac:dyDescent="0.35">
      <c r="A20" s="8" t="s">
        <v>26</v>
      </c>
      <c r="C20" s="5"/>
      <c r="E20" s="6"/>
      <c r="F20" s="6"/>
      <c r="G20" s="7"/>
      <c r="H20" s="7"/>
    </row>
    <row r="21" spans="1:8" x14ac:dyDescent="0.35">
      <c r="C21" s="5"/>
      <c r="E21" s="6"/>
      <c r="F21" s="6"/>
      <c r="G21" s="7"/>
      <c r="H21" s="7"/>
    </row>
    <row r="22" spans="1:8" x14ac:dyDescent="0.35">
      <c r="C22" s="5"/>
      <c r="E22" s="6"/>
      <c r="F22" s="6"/>
      <c r="G22" s="7"/>
      <c r="H22" s="7"/>
    </row>
    <row r="23" spans="1:8" x14ac:dyDescent="0.35">
      <c r="C23" s="5"/>
      <c r="E23" s="6"/>
      <c r="F23" s="6"/>
      <c r="G23" s="7"/>
      <c r="H23" s="7"/>
    </row>
    <row r="24" spans="1:8" ht="15.75" customHeight="1" x14ac:dyDescent="0.35">
      <c r="B24" s="129" t="s">
        <v>3</v>
      </c>
      <c r="C24" s="130"/>
      <c r="D24" s="131"/>
      <c r="E24" s="15" t="s">
        <v>4</v>
      </c>
      <c r="F24" s="15" t="s">
        <v>5</v>
      </c>
      <c r="G24" s="135" t="s">
        <v>6</v>
      </c>
      <c r="H24" s="136"/>
    </row>
    <row r="25" spans="1:8" x14ac:dyDescent="0.35">
      <c r="B25" s="132"/>
      <c r="C25" s="133"/>
      <c r="D25" s="134"/>
      <c r="E25" s="16" t="s">
        <v>7</v>
      </c>
      <c r="F25" s="17"/>
      <c r="G25" s="45" t="s">
        <v>8</v>
      </c>
      <c r="H25" s="18" t="s">
        <v>9</v>
      </c>
    </row>
    <row r="26" spans="1:8" ht="15.75" customHeight="1" x14ac:dyDescent="0.35">
      <c r="B26" s="137" t="s">
        <v>10</v>
      </c>
      <c r="C26" s="138"/>
      <c r="D26" s="139"/>
      <c r="E26" s="19">
        <v>20</v>
      </c>
      <c r="F26" s="20"/>
      <c r="G26" s="21">
        <v>800</v>
      </c>
      <c r="H26" s="22"/>
    </row>
    <row r="27" spans="1:8" ht="15.75" customHeight="1" x14ac:dyDescent="0.35">
      <c r="B27" s="123" t="s">
        <v>11</v>
      </c>
      <c r="C27" s="124"/>
      <c r="D27" s="125"/>
      <c r="E27" s="19">
        <v>20</v>
      </c>
      <c r="F27" s="20"/>
      <c r="G27" s="21">
        <v>50</v>
      </c>
      <c r="H27" s="22"/>
    </row>
    <row r="28" spans="1:8" ht="15.75" customHeight="1" x14ac:dyDescent="0.35">
      <c r="B28" s="123" t="s">
        <v>12</v>
      </c>
      <c r="C28" s="124"/>
      <c r="D28" s="125"/>
      <c r="E28" s="19">
        <v>20</v>
      </c>
      <c r="F28" s="20"/>
      <c r="G28" s="21">
        <v>2100</v>
      </c>
      <c r="H28" s="22"/>
    </row>
    <row r="29" spans="1:8" ht="15.75" customHeight="1" x14ac:dyDescent="0.35">
      <c r="B29" s="123" t="s">
        <v>13</v>
      </c>
      <c r="C29" s="124"/>
      <c r="D29" s="125"/>
      <c r="E29" s="19">
        <v>20</v>
      </c>
      <c r="F29" s="20"/>
      <c r="G29" s="21">
        <v>50</v>
      </c>
      <c r="H29" s="22"/>
    </row>
    <row r="30" spans="1:8" ht="15.75" customHeight="1" x14ac:dyDescent="0.35">
      <c r="B30" s="120" t="s">
        <v>14</v>
      </c>
      <c r="C30" s="121"/>
      <c r="D30" s="122"/>
      <c r="E30" s="19"/>
      <c r="F30" s="35"/>
      <c r="G30" s="23">
        <f>SUM(G26:G29)</f>
        <v>3000</v>
      </c>
      <c r="H30" s="22"/>
    </row>
    <row r="31" spans="1:8" ht="15.75" customHeight="1" x14ac:dyDescent="0.35">
      <c r="B31" s="123" t="s">
        <v>28</v>
      </c>
      <c r="C31" s="124"/>
      <c r="D31" s="125"/>
      <c r="E31" s="19"/>
      <c r="F31" s="20"/>
      <c r="G31" s="24"/>
      <c r="H31" s="34">
        <f>G30*9.18%</f>
        <v>275.39999999999998</v>
      </c>
    </row>
    <row r="32" spans="1:8" ht="15.75" customHeight="1" x14ac:dyDescent="0.35">
      <c r="B32" s="123" t="s">
        <v>15</v>
      </c>
      <c r="C32" s="124"/>
      <c r="D32" s="125"/>
      <c r="E32" s="19"/>
      <c r="F32" s="20"/>
      <c r="G32" s="23">
        <f>G30-H31</f>
        <v>2724.6</v>
      </c>
      <c r="H32" s="25"/>
    </row>
    <row r="33" spans="1:15" x14ac:dyDescent="0.35">
      <c r="B33" s="120" t="s">
        <v>16</v>
      </c>
      <c r="C33" s="121"/>
      <c r="D33" s="122"/>
      <c r="E33" s="19"/>
      <c r="F33" s="20"/>
      <c r="G33" s="24"/>
      <c r="H33" s="34">
        <f>'Calcul de l''IRPP'!C22</f>
        <v>816.95600000000002</v>
      </c>
    </row>
    <row r="34" spans="1:15" ht="15.75" customHeight="1" x14ac:dyDescent="0.35">
      <c r="B34" s="123" t="s">
        <v>31</v>
      </c>
      <c r="C34" s="124"/>
      <c r="D34" s="125"/>
      <c r="E34" s="19"/>
      <c r="F34" s="20"/>
      <c r="G34" s="24"/>
      <c r="H34" s="34">
        <f>(G30-(H31+H33))*0.01</f>
        <v>19.076440000000002</v>
      </c>
      <c r="O34" s="5">
        <v>786</v>
      </c>
    </row>
    <row r="35" spans="1:15" ht="15.75" customHeight="1" x14ac:dyDescent="0.35">
      <c r="B35" s="120" t="s">
        <v>17</v>
      </c>
      <c r="C35" s="121"/>
      <c r="D35" s="122"/>
      <c r="E35" s="19"/>
      <c r="F35" s="20"/>
      <c r="G35" s="24"/>
      <c r="H35" s="26">
        <f>H31+H33+H34</f>
        <v>1111.43244</v>
      </c>
      <c r="O35" s="5">
        <f>786*3</f>
        <v>2358</v>
      </c>
    </row>
    <row r="36" spans="1:15" ht="15.75" customHeight="1" x14ac:dyDescent="0.35">
      <c r="B36" s="123" t="s">
        <v>78</v>
      </c>
      <c r="C36" s="124"/>
      <c r="D36" s="125"/>
      <c r="E36" s="19"/>
      <c r="F36" s="20"/>
      <c r="G36" s="5">
        <v>1111.432</v>
      </c>
      <c r="H36" s="26"/>
    </row>
    <row r="37" spans="1:15" ht="15.75" customHeight="1" x14ac:dyDescent="0.35">
      <c r="B37" s="123" t="s">
        <v>18</v>
      </c>
      <c r="C37" s="124"/>
      <c r="D37" s="125"/>
      <c r="E37" s="19"/>
      <c r="F37" s="20"/>
      <c r="G37" s="21" t="s">
        <v>19</v>
      </c>
      <c r="H37" s="22"/>
    </row>
    <row r="38" spans="1:15" ht="15.75" customHeight="1" x14ac:dyDescent="0.35">
      <c r="B38" s="123" t="s">
        <v>29</v>
      </c>
      <c r="C38" s="124"/>
      <c r="D38" s="125"/>
      <c r="E38" s="19"/>
      <c r="F38" s="20"/>
      <c r="G38" s="27"/>
      <c r="H38" s="28" t="s">
        <v>19</v>
      </c>
    </row>
    <row r="39" spans="1:15" ht="15.75" customHeight="1" x14ac:dyDescent="0.35">
      <c r="B39" s="120" t="s">
        <v>20</v>
      </c>
      <c r="C39" s="121"/>
      <c r="D39" s="122"/>
      <c r="E39" s="19"/>
      <c r="F39" s="20"/>
      <c r="G39" s="26">
        <f>(G30+G36)-H35</f>
        <v>2999.9995599999997</v>
      </c>
      <c r="H39" s="22"/>
    </row>
    <row r="40" spans="1:15" x14ac:dyDescent="0.35">
      <c r="B40" s="126"/>
      <c r="C40" s="127"/>
      <c r="D40" s="128"/>
      <c r="E40" s="19"/>
      <c r="F40" s="20"/>
      <c r="G40" s="24"/>
      <c r="H40" s="22"/>
    </row>
    <row r="41" spans="1:15" ht="30" x14ac:dyDescent="0.35">
      <c r="B41" s="118" t="s">
        <v>21</v>
      </c>
      <c r="C41" s="119"/>
      <c r="D41" s="29" t="s">
        <v>22</v>
      </c>
      <c r="E41" s="44" t="s">
        <v>23</v>
      </c>
      <c r="F41" s="44" t="s">
        <v>24</v>
      </c>
      <c r="G41" s="118" t="s">
        <v>20</v>
      </c>
      <c r="H41" s="119"/>
    </row>
    <row r="42" spans="1:15" ht="15" x14ac:dyDescent="0.35">
      <c r="B42" s="111" t="s">
        <v>84</v>
      </c>
      <c r="C42" s="112"/>
      <c r="D42" s="30">
        <f>G30</f>
        <v>3000</v>
      </c>
      <c r="E42" s="36">
        <f>H35</f>
        <v>1111.43244</v>
      </c>
      <c r="F42" s="36">
        <f>+G39</f>
        <v>2999.9995599999997</v>
      </c>
      <c r="G42" s="113">
        <f>+F42</f>
        <v>2999.9995599999997</v>
      </c>
      <c r="H42" s="114"/>
    </row>
    <row r="43" spans="1:15" ht="15" x14ac:dyDescent="0.35">
      <c r="B43" s="37"/>
      <c r="C43" s="37"/>
      <c r="D43" s="38"/>
      <c r="E43" s="39"/>
      <c r="F43" s="39"/>
      <c r="G43" s="39"/>
      <c r="H43" s="40"/>
    </row>
    <row r="44" spans="1:15" x14ac:dyDescent="0.35">
      <c r="A44" s="8" t="s">
        <v>25</v>
      </c>
      <c r="B44" s="5"/>
    </row>
    <row r="45" spans="1:15" x14ac:dyDescent="0.35">
      <c r="A45" s="8"/>
      <c r="B45" s="5"/>
    </row>
    <row r="47" spans="1:15" ht="18.5" x14ac:dyDescent="0.35">
      <c r="E47" s="5"/>
      <c r="F47" s="5"/>
      <c r="G47" s="115" t="s">
        <v>30</v>
      </c>
      <c r="H47" s="115"/>
      <c r="I47" s="31"/>
    </row>
    <row r="48" spans="1:15" ht="18.5" x14ac:dyDescent="0.35">
      <c r="G48" s="116" t="s">
        <v>83</v>
      </c>
      <c r="H48" s="116"/>
    </row>
    <row r="49" spans="1:8" ht="18.5" x14ac:dyDescent="0.35">
      <c r="G49" s="43"/>
      <c r="H49" s="43"/>
    </row>
    <row r="50" spans="1:8" s="32" customFormat="1" ht="13" x14ac:dyDescent="0.3">
      <c r="B50" s="2"/>
      <c r="C50" s="2"/>
      <c r="D50" s="2"/>
      <c r="E50" s="33"/>
      <c r="F50" s="2"/>
      <c r="G50" s="2"/>
      <c r="H50" s="2"/>
    </row>
    <row r="51" spans="1:8" customFormat="1" ht="14.5" x14ac:dyDescent="0.35">
      <c r="A51" s="102"/>
      <c r="B51" s="102"/>
      <c r="C51" s="103"/>
      <c r="D51" s="102"/>
      <c r="E51" s="104"/>
      <c r="F51" s="102"/>
      <c r="G51" s="102"/>
      <c r="H51" s="102"/>
    </row>
    <row r="52" spans="1:8" customFormat="1" ht="14.5" x14ac:dyDescent="0.35">
      <c r="A52" s="110" t="s">
        <v>80</v>
      </c>
      <c r="B52" s="110"/>
      <c r="C52" s="110"/>
      <c r="D52" s="110"/>
      <c r="E52" s="110"/>
      <c r="F52" s="110"/>
      <c r="G52" s="110"/>
      <c r="H52" s="110"/>
    </row>
    <row r="53" spans="1:8" customFormat="1" ht="14.5" x14ac:dyDescent="0.35">
      <c r="A53" s="117" t="s">
        <v>81</v>
      </c>
      <c r="B53" s="117"/>
      <c r="C53" s="117"/>
      <c r="D53" s="117"/>
      <c r="E53" s="117"/>
      <c r="F53" s="117"/>
      <c r="G53" s="117"/>
      <c r="H53" s="117"/>
    </row>
    <row r="54" spans="1:8" customFormat="1" ht="14.5" x14ac:dyDescent="0.35">
      <c r="A54" s="110" t="s">
        <v>82</v>
      </c>
      <c r="B54" s="110"/>
      <c r="C54" s="110"/>
      <c r="D54" s="110"/>
      <c r="E54" s="110"/>
      <c r="F54" s="110"/>
      <c r="G54" s="110"/>
      <c r="H54" s="110"/>
    </row>
  </sheetData>
  <mergeCells count="26">
    <mergeCell ref="B29:D29"/>
    <mergeCell ref="B24:D25"/>
    <mergeCell ref="G24:H24"/>
    <mergeCell ref="B26:D26"/>
    <mergeCell ref="B27:D27"/>
    <mergeCell ref="B28:D28"/>
    <mergeCell ref="G41:H41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C41"/>
    <mergeCell ref="B36:D36"/>
    <mergeCell ref="A54:H54"/>
    <mergeCell ref="B42:C42"/>
    <mergeCell ref="G42:H42"/>
    <mergeCell ref="G47:H47"/>
    <mergeCell ref="G48:H48"/>
    <mergeCell ref="A52:H52"/>
    <mergeCell ref="A53:H53"/>
  </mergeCells>
  <hyperlinks>
    <hyperlink ref="A53" r:id="rId1" display="http://www.cloudiasolutions.com/" xr:uid="{00000000-0004-0000-0100-000000000000}"/>
  </hyperlinks>
  <pageMargins left="0.7" right="0.7" top="0.75" bottom="0.75" header="0.3" footer="0.3"/>
  <pageSetup paperSize="9" scale="9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tabSelected="1" view="pageBreakPreview" zoomScaleNormal="100" zoomScaleSheetLayoutView="100" workbookViewId="0">
      <selection activeCell="B43" sqref="B43"/>
    </sheetView>
  </sheetViews>
  <sheetFormatPr baseColWidth="10" defaultRowHeight="15.5" x14ac:dyDescent="0.35"/>
  <cols>
    <col min="1" max="1" width="9.90625" style="5" customWidth="1"/>
    <col min="2" max="2" width="11.453125" style="4" customWidth="1"/>
    <col min="3" max="3" width="13.26953125" style="4" customWidth="1"/>
    <col min="4" max="4" width="10.54296875" style="4" customWidth="1"/>
    <col min="5" max="5" width="9.90625" style="42" customWidth="1"/>
    <col min="6" max="6" width="11.453125" style="42"/>
    <col min="7" max="7" width="14" style="5" customWidth="1"/>
    <col min="8" max="8" width="13.54296875" style="5" customWidth="1"/>
    <col min="9" max="242" width="11.453125" style="5"/>
    <col min="243" max="243" width="11.1796875" style="5" customWidth="1"/>
    <col min="244" max="244" width="11.453125" style="5"/>
    <col min="245" max="245" width="8.453125" style="5" customWidth="1"/>
    <col min="246" max="498" width="11.453125" style="5"/>
    <col min="499" max="499" width="11.1796875" style="5" customWidth="1"/>
    <col min="500" max="500" width="11.453125" style="5"/>
    <col min="501" max="501" width="8.453125" style="5" customWidth="1"/>
    <col min="502" max="754" width="11.453125" style="5"/>
    <col min="755" max="755" width="11.1796875" style="5" customWidth="1"/>
    <col min="756" max="756" width="11.453125" style="5"/>
    <col min="757" max="757" width="8.453125" style="5" customWidth="1"/>
    <col min="758" max="1010" width="11.453125" style="5"/>
    <col min="1011" max="1011" width="11.1796875" style="5" customWidth="1"/>
    <col min="1012" max="1012" width="11.453125" style="5"/>
    <col min="1013" max="1013" width="8.453125" style="5" customWidth="1"/>
    <col min="1014" max="1266" width="11.453125" style="5"/>
    <col min="1267" max="1267" width="11.1796875" style="5" customWidth="1"/>
    <col min="1268" max="1268" width="11.453125" style="5"/>
    <col min="1269" max="1269" width="8.453125" style="5" customWidth="1"/>
    <col min="1270" max="1522" width="11.453125" style="5"/>
    <col min="1523" max="1523" width="11.1796875" style="5" customWidth="1"/>
    <col min="1524" max="1524" width="11.453125" style="5"/>
    <col min="1525" max="1525" width="8.453125" style="5" customWidth="1"/>
    <col min="1526" max="1778" width="11.453125" style="5"/>
    <col min="1779" max="1779" width="11.1796875" style="5" customWidth="1"/>
    <col min="1780" max="1780" width="11.453125" style="5"/>
    <col min="1781" max="1781" width="8.453125" style="5" customWidth="1"/>
    <col min="1782" max="2034" width="11.453125" style="5"/>
    <col min="2035" max="2035" width="11.1796875" style="5" customWidth="1"/>
    <col min="2036" max="2036" width="11.453125" style="5"/>
    <col min="2037" max="2037" width="8.453125" style="5" customWidth="1"/>
    <col min="2038" max="2290" width="11.453125" style="5"/>
    <col min="2291" max="2291" width="11.1796875" style="5" customWidth="1"/>
    <col min="2292" max="2292" width="11.453125" style="5"/>
    <col min="2293" max="2293" width="8.453125" style="5" customWidth="1"/>
    <col min="2294" max="2546" width="11.453125" style="5"/>
    <col min="2547" max="2547" width="11.1796875" style="5" customWidth="1"/>
    <col min="2548" max="2548" width="11.453125" style="5"/>
    <col min="2549" max="2549" width="8.453125" style="5" customWidth="1"/>
    <col min="2550" max="2802" width="11.453125" style="5"/>
    <col min="2803" max="2803" width="11.1796875" style="5" customWidth="1"/>
    <col min="2804" max="2804" width="11.453125" style="5"/>
    <col min="2805" max="2805" width="8.453125" style="5" customWidth="1"/>
    <col min="2806" max="3058" width="11.453125" style="5"/>
    <col min="3059" max="3059" width="11.1796875" style="5" customWidth="1"/>
    <col min="3060" max="3060" width="11.453125" style="5"/>
    <col min="3061" max="3061" width="8.453125" style="5" customWidth="1"/>
    <col min="3062" max="3314" width="11.453125" style="5"/>
    <col min="3315" max="3315" width="11.1796875" style="5" customWidth="1"/>
    <col min="3316" max="3316" width="11.453125" style="5"/>
    <col min="3317" max="3317" width="8.453125" style="5" customWidth="1"/>
    <col min="3318" max="3570" width="11.453125" style="5"/>
    <col min="3571" max="3571" width="11.1796875" style="5" customWidth="1"/>
    <col min="3572" max="3572" width="11.453125" style="5"/>
    <col min="3573" max="3573" width="8.453125" style="5" customWidth="1"/>
    <col min="3574" max="3826" width="11.453125" style="5"/>
    <col min="3827" max="3827" width="11.1796875" style="5" customWidth="1"/>
    <col min="3828" max="3828" width="11.453125" style="5"/>
    <col min="3829" max="3829" width="8.453125" style="5" customWidth="1"/>
    <col min="3830" max="4082" width="11.453125" style="5"/>
    <col min="4083" max="4083" width="11.1796875" style="5" customWidth="1"/>
    <col min="4084" max="4084" width="11.453125" style="5"/>
    <col min="4085" max="4085" width="8.453125" style="5" customWidth="1"/>
    <col min="4086" max="4338" width="11.453125" style="5"/>
    <col min="4339" max="4339" width="11.1796875" style="5" customWidth="1"/>
    <col min="4340" max="4340" width="11.453125" style="5"/>
    <col min="4341" max="4341" width="8.453125" style="5" customWidth="1"/>
    <col min="4342" max="4594" width="11.453125" style="5"/>
    <col min="4595" max="4595" width="11.1796875" style="5" customWidth="1"/>
    <col min="4596" max="4596" width="11.453125" style="5"/>
    <col min="4597" max="4597" width="8.453125" style="5" customWidth="1"/>
    <col min="4598" max="4850" width="11.453125" style="5"/>
    <col min="4851" max="4851" width="11.1796875" style="5" customWidth="1"/>
    <col min="4852" max="4852" width="11.453125" style="5"/>
    <col min="4853" max="4853" width="8.453125" style="5" customWidth="1"/>
    <col min="4854" max="5106" width="11.453125" style="5"/>
    <col min="5107" max="5107" width="11.1796875" style="5" customWidth="1"/>
    <col min="5108" max="5108" width="11.453125" style="5"/>
    <col min="5109" max="5109" width="8.453125" style="5" customWidth="1"/>
    <col min="5110" max="5362" width="11.453125" style="5"/>
    <col min="5363" max="5363" width="11.1796875" style="5" customWidth="1"/>
    <col min="5364" max="5364" width="11.453125" style="5"/>
    <col min="5365" max="5365" width="8.453125" style="5" customWidth="1"/>
    <col min="5366" max="5618" width="11.453125" style="5"/>
    <col min="5619" max="5619" width="11.1796875" style="5" customWidth="1"/>
    <col min="5620" max="5620" width="11.453125" style="5"/>
    <col min="5621" max="5621" width="8.453125" style="5" customWidth="1"/>
    <col min="5622" max="5874" width="11.453125" style="5"/>
    <col min="5875" max="5875" width="11.1796875" style="5" customWidth="1"/>
    <col min="5876" max="5876" width="11.453125" style="5"/>
    <col min="5877" max="5877" width="8.453125" style="5" customWidth="1"/>
    <col min="5878" max="6130" width="11.453125" style="5"/>
    <col min="6131" max="6131" width="11.1796875" style="5" customWidth="1"/>
    <col min="6132" max="6132" width="11.453125" style="5"/>
    <col min="6133" max="6133" width="8.453125" style="5" customWidth="1"/>
    <col min="6134" max="6386" width="11.453125" style="5"/>
    <col min="6387" max="6387" width="11.1796875" style="5" customWidth="1"/>
    <col min="6388" max="6388" width="11.453125" style="5"/>
    <col min="6389" max="6389" width="8.453125" style="5" customWidth="1"/>
    <col min="6390" max="6642" width="11.453125" style="5"/>
    <col min="6643" max="6643" width="11.1796875" style="5" customWidth="1"/>
    <col min="6644" max="6644" width="11.453125" style="5"/>
    <col min="6645" max="6645" width="8.453125" style="5" customWidth="1"/>
    <col min="6646" max="6898" width="11.453125" style="5"/>
    <col min="6899" max="6899" width="11.1796875" style="5" customWidth="1"/>
    <col min="6900" max="6900" width="11.453125" style="5"/>
    <col min="6901" max="6901" width="8.453125" style="5" customWidth="1"/>
    <col min="6902" max="7154" width="11.453125" style="5"/>
    <col min="7155" max="7155" width="11.1796875" style="5" customWidth="1"/>
    <col min="7156" max="7156" width="11.453125" style="5"/>
    <col min="7157" max="7157" width="8.453125" style="5" customWidth="1"/>
    <col min="7158" max="7410" width="11.453125" style="5"/>
    <col min="7411" max="7411" width="11.1796875" style="5" customWidth="1"/>
    <col min="7412" max="7412" width="11.453125" style="5"/>
    <col min="7413" max="7413" width="8.453125" style="5" customWidth="1"/>
    <col min="7414" max="7666" width="11.453125" style="5"/>
    <col min="7667" max="7667" width="11.1796875" style="5" customWidth="1"/>
    <col min="7668" max="7668" width="11.453125" style="5"/>
    <col min="7669" max="7669" width="8.453125" style="5" customWidth="1"/>
    <col min="7670" max="7922" width="11.453125" style="5"/>
    <col min="7923" max="7923" width="11.1796875" style="5" customWidth="1"/>
    <col min="7924" max="7924" width="11.453125" style="5"/>
    <col min="7925" max="7925" width="8.453125" style="5" customWidth="1"/>
    <col min="7926" max="8178" width="11.453125" style="5"/>
    <col min="8179" max="8179" width="11.1796875" style="5" customWidth="1"/>
    <col min="8180" max="8180" width="11.453125" style="5"/>
    <col min="8181" max="8181" width="8.453125" style="5" customWidth="1"/>
    <col min="8182" max="8434" width="11.453125" style="5"/>
    <col min="8435" max="8435" width="11.1796875" style="5" customWidth="1"/>
    <col min="8436" max="8436" width="11.453125" style="5"/>
    <col min="8437" max="8437" width="8.453125" style="5" customWidth="1"/>
    <col min="8438" max="8690" width="11.453125" style="5"/>
    <col min="8691" max="8691" width="11.1796875" style="5" customWidth="1"/>
    <col min="8692" max="8692" width="11.453125" style="5"/>
    <col min="8693" max="8693" width="8.453125" style="5" customWidth="1"/>
    <col min="8694" max="8946" width="11.453125" style="5"/>
    <col min="8947" max="8947" width="11.1796875" style="5" customWidth="1"/>
    <col min="8948" max="8948" width="11.453125" style="5"/>
    <col min="8949" max="8949" width="8.453125" style="5" customWidth="1"/>
    <col min="8950" max="9202" width="11.453125" style="5"/>
    <col min="9203" max="9203" width="11.1796875" style="5" customWidth="1"/>
    <col min="9204" max="9204" width="11.453125" style="5"/>
    <col min="9205" max="9205" width="8.453125" style="5" customWidth="1"/>
    <col min="9206" max="9458" width="11.453125" style="5"/>
    <col min="9459" max="9459" width="11.1796875" style="5" customWidth="1"/>
    <col min="9460" max="9460" width="11.453125" style="5"/>
    <col min="9461" max="9461" width="8.453125" style="5" customWidth="1"/>
    <col min="9462" max="9714" width="11.453125" style="5"/>
    <col min="9715" max="9715" width="11.1796875" style="5" customWidth="1"/>
    <col min="9716" max="9716" width="11.453125" style="5"/>
    <col min="9717" max="9717" width="8.453125" style="5" customWidth="1"/>
    <col min="9718" max="9970" width="11.453125" style="5"/>
    <col min="9971" max="9971" width="11.1796875" style="5" customWidth="1"/>
    <col min="9972" max="9972" width="11.453125" style="5"/>
    <col min="9973" max="9973" width="8.453125" style="5" customWidth="1"/>
    <col min="9974" max="10226" width="11.453125" style="5"/>
    <col min="10227" max="10227" width="11.1796875" style="5" customWidth="1"/>
    <col min="10228" max="10228" width="11.453125" style="5"/>
    <col min="10229" max="10229" width="8.453125" style="5" customWidth="1"/>
    <col min="10230" max="10482" width="11.453125" style="5"/>
    <col min="10483" max="10483" width="11.1796875" style="5" customWidth="1"/>
    <col min="10484" max="10484" width="11.453125" style="5"/>
    <col min="10485" max="10485" width="8.453125" style="5" customWidth="1"/>
    <col min="10486" max="10738" width="11.453125" style="5"/>
    <col min="10739" max="10739" width="11.1796875" style="5" customWidth="1"/>
    <col min="10740" max="10740" width="11.453125" style="5"/>
    <col min="10741" max="10741" width="8.453125" style="5" customWidth="1"/>
    <col min="10742" max="10994" width="11.453125" style="5"/>
    <col min="10995" max="10995" width="11.1796875" style="5" customWidth="1"/>
    <col min="10996" max="10996" width="11.453125" style="5"/>
    <col min="10997" max="10997" width="8.453125" style="5" customWidth="1"/>
    <col min="10998" max="11250" width="11.453125" style="5"/>
    <col min="11251" max="11251" width="11.1796875" style="5" customWidth="1"/>
    <col min="11252" max="11252" width="11.453125" style="5"/>
    <col min="11253" max="11253" width="8.453125" style="5" customWidth="1"/>
    <col min="11254" max="11506" width="11.453125" style="5"/>
    <col min="11507" max="11507" width="11.1796875" style="5" customWidth="1"/>
    <col min="11508" max="11508" width="11.453125" style="5"/>
    <col min="11509" max="11509" width="8.453125" style="5" customWidth="1"/>
    <col min="11510" max="11762" width="11.453125" style="5"/>
    <col min="11763" max="11763" width="11.1796875" style="5" customWidth="1"/>
    <col min="11764" max="11764" width="11.453125" style="5"/>
    <col min="11765" max="11765" width="8.453125" style="5" customWidth="1"/>
    <col min="11766" max="12018" width="11.453125" style="5"/>
    <col min="12019" max="12019" width="11.1796875" style="5" customWidth="1"/>
    <col min="12020" max="12020" width="11.453125" style="5"/>
    <col min="12021" max="12021" width="8.453125" style="5" customWidth="1"/>
    <col min="12022" max="12274" width="11.453125" style="5"/>
    <col min="12275" max="12275" width="11.1796875" style="5" customWidth="1"/>
    <col min="12276" max="12276" width="11.453125" style="5"/>
    <col min="12277" max="12277" width="8.453125" style="5" customWidth="1"/>
    <col min="12278" max="12530" width="11.453125" style="5"/>
    <col min="12531" max="12531" width="11.1796875" style="5" customWidth="1"/>
    <col min="12532" max="12532" width="11.453125" style="5"/>
    <col min="12533" max="12533" width="8.453125" style="5" customWidth="1"/>
    <col min="12534" max="12786" width="11.453125" style="5"/>
    <col min="12787" max="12787" width="11.1796875" style="5" customWidth="1"/>
    <col min="12788" max="12788" width="11.453125" style="5"/>
    <col min="12789" max="12789" width="8.453125" style="5" customWidth="1"/>
    <col min="12790" max="13042" width="11.453125" style="5"/>
    <col min="13043" max="13043" width="11.1796875" style="5" customWidth="1"/>
    <col min="13044" max="13044" width="11.453125" style="5"/>
    <col min="13045" max="13045" width="8.453125" style="5" customWidth="1"/>
    <col min="13046" max="13298" width="11.453125" style="5"/>
    <col min="13299" max="13299" width="11.1796875" style="5" customWidth="1"/>
    <col min="13300" max="13300" width="11.453125" style="5"/>
    <col min="13301" max="13301" width="8.453125" style="5" customWidth="1"/>
    <col min="13302" max="13554" width="11.453125" style="5"/>
    <col min="13555" max="13555" width="11.1796875" style="5" customWidth="1"/>
    <col min="13556" max="13556" width="11.453125" style="5"/>
    <col min="13557" max="13557" width="8.453125" style="5" customWidth="1"/>
    <col min="13558" max="13810" width="11.453125" style="5"/>
    <col min="13811" max="13811" width="11.1796875" style="5" customWidth="1"/>
    <col min="13812" max="13812" width="11.453125" style="5"/>
    <col min="13813" max="13813" width="8.453125" style="5" customWidth="1"/>
    <col min="13814" max="14066" width="11.453125" style="5"/>
    <col min="14067" max="14067" width="11.1796875" style="5" customWidth="1"/>
    <col min="14068" max="14068" width="11.453125" style="5"/>
    <col min="14069" max="14069" width="8.453125" style="5" customWidth="1"/>
    <col min="14070" max="14322" width="11.453125" style="5"/>
    <col min="14323" max="14323" width="11.1796875" style="5" customWidth="1"/>
    <col min="14324" max="14324" width="11.453125" style="5"/>
    <col min="14325" max="14325" width="8.453125" style="5" customWidth="1"/>
    <col min="14326" max="14578" width="11.453125" style="5"/>
    <col min="14579" max="14579" width="11.1796875" style="5" customWidth="1"/>
    <col min="14580" max="14580" width="11.453125" style="5"/>
    <col min="14581" max="14581" width="8.453125" style="5" customWidth="1"/>
    <col min="14582" max="14834" width="11.453125" style="5"/>
    <col min="14835" max="14835" width="11.1796875" style="5" customWidth="1"/>
    <col min="14836" max="14836" width="11.453125" style="5"/>
    <col min="14837" max="14837" width="8.453125" style="5" customWidth="1"/>
    <col min="14838" max="15090" width="11.453125" style="5"/>
    <col min="15091" max="15091" width="11.1796875" style="5" customWidth="1"/>
    <col min="15092" max="15092" width="11.453125" style="5"/>
    <col min="15093" max="15093" width="8.453125" style="5" customWidth="1"/>
    <col min="15094" max="15346" width="11.453125" style="5"/>
    <col min="15347" max="15347" width="11.1796875" style="5" customWidth="1"/>
    <col min="15348" max="15348" width="11.453125" style="5"/>
    <col min="15349" max="15349" width="8.453125" style="5" customWidth="1"/>
    <col min="15350" max="15602" width="11.453125" style="5"/>
    <col min="15603" max="15603" width="11.1796875" style="5" customWidth="1"/>
    <col min="15604" max="15604" width="11.453125" style="5"/>
    <col min="15605" max="15605" width="8.453125" style="5" customWidth="1"/>
    <col min="15606" max="15858" width="11.453125" style="5"/>
    <col min="15859" max="15859" width="11.1796875" style="5" customWidth="1"/>
    <col min="15860" max="15860" width="11.453125" style="5"/>
    <col min="15861" max="15861" width="8.453125" style="5" customWidth="1"/>
    <col min="15862" max="16114" width="11.453125" style="5"/>
    <col min="16115" max="16115" width="11.1796875" style="5" customWidth="1"/>
    <col min="16116" max="16116" width="11.453125" style="5"/>
    <col min="16117" max="16117" width="8.453125" style="5" customWidth="1"/>
    <col min="16118" max="16384" width="11.453125" style="5"/>
  </cols>
  <sheetData>
    <row r="1" spans="1:8" s="2" customFormat="1" ht="13" x14ac:dyDescent="0.35">
      <c r="B1" s="1"/>
      <c r="C1" s="1"/>
      <c r="D1" s="1"/>
    </row>
    <row r="2" spans="1:8" s="2" customFormat="1" x14ac:dyDescent="0.3">
      <c r="A2" s="144" t="s">
        <v>79</v>
      </c>
      <c r="B2" s="1"/>
      <c r="C2" s="1"/>
      <c r="D2" s="1"/>
    </row>
    <row r="3" spans="1:8" s="2" customFormat="1" ht="13" x14ac:dyDescent="0.35">
      <c r="A3" s="3"/>
      <c r="B3" s="3"/>
      <c r="C3" s="3"/>
      <c r="D3" s="3"/>
    </row>
    <row r="4" spans="1:8" s="2" customFormat="1" ht="13" x14ac:dyDescent="0.35">
      <c r="A4" s="1"/>
      <c r="B4" s="1"/>
      <c r="C4" s="1"/>
      <c r="D4" s="1"/>
    </row>
    <row r="5" spans="1:8" s="2" customFormat="1" ht="13" x14ac:dyDescent="0.35">
      <c r="A5" s="1"/>
      <c r="B5" s="1"/>
      <c r="C5" s="1"/>
      <c r="D5" s="1"/>
    </row>
    <row r="6" spans="1:8" s="2" customFormat="1" ht="13" x14ac:dyDescent="0.35">
      <c r="A6" s="1"/>
      <c r="B6" s="1"/>
      <c r="C6" s="1"/>
      <c r="D6" s="1"/>
    </row>
    <row r="7" spans="1:8" s="2" customFormat="1" ht="13" x14ac:dyDescent="0.35">
      <c r="A7" s="1"/>
      <c r="B7" s="1"/>
      <c r="C7" s="1"/>
      <c r="D7" s="1"/>
    </row>
    <row r="8" spans="1:8" x14ac:dyDescent="0.35">
      <c r="A8" s="4"/>
      <c r="D8" s="42"/>
      <c r="F8" s="5"/>
    </row>
    <row r="9" spans="1:8" x14ac:dyDescent="0.35">
      <c r="E9" s="6"/>
      <c r="F9" s="6"/>
      <c r="G9" s="7"/>
      <c r="H9" s="7"/>
    </row>
    <row r="10" spans="1:8" x14ac:dyDescent="0.35">
      <c r="E10" s="6"/>
      <c r="F10" s="6"/>
      <c r="G10" s="7"/>
      <c r="H10" s="7"/>
    </row>
    <row r="11" spans="1:8" x14ac:dyDescent="0.35">
      <c r="B11" s="8"/>
      <c r="E11" s="6"/>
      <c r="F11" s="6"/>
      <c r="G11" s="7"/>
      <c r="H11" s="7"/>
    </row>
    <row r="12" spans="1:8" x14ac:dyDescent="0.35">
      <c r="B12" s="8"/>
      <c r="E12" s="6"/>
      <c r="F12" s="6"/>
      <c r="G12" s="7"/>
      <c r="H12" s="7"/>
    </row>
    <row r="13" spans="1:8" x14ac:dyDescent="0.35">
      <c r="B13" s="8"/>
      <c r="E13" s="6"/>
      <c r="F13" s="6"/>
      <c r="G13" s="7"/>
      <c r="H13" s="7"/>
    </row>
    <row r="14" spans="1:8" x14ac:dyDescent="0.35">
      <c r="B14" s="8" t="s">
        <v>0</v>
      </c>
      <c r="E14" s="9"/>
      <c r="F14" s="41" t="s">
        <v>93</v>
      </c>
      <c r="G14" s="10"/>
      <c r="H14" s="7"/>
    </row>
    <row r="15" spans="1:8" x14ac:dyDescent="0.35">
      <c r="A15" s="8" t="s">
        <v>90</v>
      </c>
      <c r="C15" s="5"/>
      <c r="F15" s="5"/>
      <c r="G15" s="7"/>
      <c r="H15" s="7"/>
    </row>
    <row r="16" spans="1:8" x14ac:dyDescent="0.35">
      <c r="A16" s="8" t="s">
        <v>1</v>
      </c>
      <c r="C16" s="5"/>
      <c r="E16" s="6"/>
      <c r="F16" s="6"/>
      <c r="G16" s="7"/>
      <c r="H16" s="7"/>
    </row>
    <row r="17" spans="1:8" x14ac:dyDescent="0.35">
      <c r="A17" s="8" t="s">
        <v>27</v>
      </c>
      <c r="C17" s="5"/>
      <c r="D17" s="11" t="s">
        <v>91</v>
      </c>
      <c r="E17" s="12"/>
      <c r="F17" s="13"/>
      <c r="G17" s="14"/>
      <c r="H17" s="7"/>
    </row>
    <row r="18" spans="1:8" x14ac:dyDescent="0.35">
      <c r="A18" s="8" t="s">
        <v>2</v>
      </c>
      <c r="C18" s="5"/>
      <c r="E18" s="6"/>
      <c r="F18" s="6"/>
      <c r="G18" s="7"/>
      <c r="H18" s="7"/>
    </row>
    <row r="19" spans="1:8" ht="15.5" customHeight="1" x14ac:dyDescent="0.35">
      <c r="A19" s="140" t="s">
        <v>92</v>
      </c>
      <c r="B19" s="140"/>
      <c r="C19" s="140"/>
      <c r="D19" s="140"/>
      <c r="E19" s="6"/>
      <c r="F19" s="6"/>
      <c r="G19" s="7"/>
      <c r="H19" s="7"/>
    </row>
    <row r="20" spans="1:8" x14ac:dyDescent="0.35">
      <c r="A20" s="8" t="s">
        <v>26</v>
      </c>
      <c r="C20" s="5"/>
      <c r="E20" s="6"/>
      <c r="F20" s="6"/>
      <c r="G20" s="7"/>
      <c r="H20" s="7"/>
    </row>
    <row r="21" spans="1:8" x14ac:dyDescent="0.35">
      <c r="C21" s="5"/>
      <c r="E21" s="6"/>
      <c r="F21" s="6"/>
      <c r="G21" s="7"/>
      <c r="H21" s="7"/>
    </row>
    <row r="22" spans="1:8" x14ac:dyDescent="0.35">
      <c r="C22" s="5"/>
      <c r="E22" s="6"/>
      <c r="F22" s="6"/>
      <c r="G22" s="7"/>
      <c r="H22" s="7"/>
    </row>
    <row r="23" spans="1:8" x14ac:dyDescent="0.35">
      <c r="C23" s="5"/>
      <c r="E23" s="6"/>
      <c r="F23" s="6"/>
      <c r="G23" s="7"/>
      <c r="H23" s="7"/>
    </row>
    <row r="24" spans="1:8" ht="15.75" customHeight="1" x14ac:dyDescent="0.35">
      <c r="B24" s="129" t="s">
        <v>3</v>
      </c>
      <c r="C24" s="130"/>
      <c r="D24" s="131"/>
      <c r="E24" s="15" t="s">
        <v>4</v>
      </c>
      <c r="F24" s="15" t="s">
        <v>5</v>
      </c>
      <c r="G24" s="135" t="s">
        <v>6</v>
      </c>
      <c r="H24" s="136"/>
    </row>
    <row r="25" spans="1:8" x14ac:dyDescent="0.35">
      <c r="B25" s="132"/>
      <c r="C25" s="133"/>
      <c r="D25" s="134"/>
      <c r="E25" s="16" t="s">
        <v>7</v>
      </c>
      <c r="F25" s="17"/>
      <c r="G25" s="45" t="s">
        <v>8</v>
      </c>
      <c r="H25" s="18" t="s">
        <v>9</v>
      </c>
    </row>
    <row r="26" spans="1:8" ht="15.75" customHeight="1" x14ac:dyDescent="0.35">
      <c r="B26" s="137" t="s">
        <v>10</v>
      </c>
      <c r="C26" s="138"/>
      <c r="D26" s="139"/>
      <c r="E26" s="19">
        <v>20</v>
      </c>
      <c r="F26" s="20"/>
      <c r="G26" s="21">
        <v>2000</v>
      </c>
      <c r="H26" s="22"/>
    </row>
    <row r="27" spans="1:8" ht="15.75" customHeight="1" x14ac:dyDescent="0.35">
      <c r="B27" s="123" t="s">
        <v>11</v>
      </c>
      <c r="C27" s="124"/>
      <c r="D27" s="125"/>
      <c r="E27" s="19">
        <v>20</v>
      </c>
      <c r="F27" s="20"/>
      <c r="G27" s="21">
        <v>50</v>
      </c>
      <c r="H27" s="22"/>
    </row>
    <row r="28" spans="1:8" ht="15.75" customHeight="1" x14ac:dyDescent="0.35">
      <c r="B28" s="123" t="s">
        <v>12</v>
      </c>
      <c r="C28" s="124"/>
      <c r="D28" s="125"/>
      <c r="E28" s="19">
        <v>20</v>
      </c>
      <c r="F28" s="20"/>
      <c r="G28" s="21">
        <v>50</v>
      </c>
      <c r="H28" s="22"/>
    </row>
    <row r="29" spans="1:8" ht="15.75" customHeight="1" x14ac:dyDescent="0.35">
      <c r="B29" s="123" t="s">
        <v>13</v>
      </c>
      <c r="C29" s="124"/>
      <c r="D29" s="125"/>
      <c r="E29" s="19">
        <v>20</v>
      </c>
      <c r="F29" s="20"/>
      <c r="G29" s="21">
        <v>50</v>
      </c>
      <c r="H29" s="22"/>
    </row>
    <row r="30" spans="1:8" ht="15.75" customHeight="1" x14ac:dyDescent="0.35">
      <c r="B30" s="120" t="s">
        <v>14</v>
      </c>
      <c r="C30" s="121"/>
      <c r="D30" s="122"/>
      <c r="E30" s="19"/>
      <c r="F30" s="35"/>
      <c r="G30" s="23">
        <f>SUM(G26:G29)</f>
        <v>2150</v>
      </c>
      <c r="H30" s="22"/>
    </row>
    <row r="31" spans="1:8" ht="15.75" customHeight="1" x14ac:dyDescent="0.35">
      <c r="B31" s="123" t="s">
        <v>28</v>
      </c>
      <c r="C31" s="124"/>
      <c r="D31" s="125"/>
      <c r="E31" s="19"/>
      <c r="F31" s="20"/>
      <c r="G31" s="24"/>
      <c r="H31" s="34">
        <f>0</f>
        <v>0</v>
      </c>
    </row>
    <row r="32" spans="1:8" ht="15.75" customHeight="1" x14ac:dyDescent="0.35">
      <c r="B32" s="123" t="s">
        <v>15</v>
      </c>
      <c r="C32" s="124"/>
      <c r="D32" s="125"/>
      <c r="E32" s="19"/>
      <c r="F32" s="20"/>
      <c r="G32" s="23">
        <f>G30-H31</f>
        <v>2150</v>
      </c>
      <c r="H32" s="25"/>
    </row>
    <row r="33" spans="1:15" x14ac:dyDescent="0.35">
      <c r="B33" s="120" t="s">
        <v>16</v>
      </c>
      <c r="C33" s="121"/>
      <c r="D33" s="122"/>
      <c r="E33" s="19"/>
      <c r="F33" s="20"/>
      <c r="G33" s="24"/>
      <c r="H33" s="34">
        <f>0</f>
        <v>0</v>
      </c>
    </row>
    <row r="34" spans="1:15" ht="15.75" customHeight="1" x14ac:dyDescent="0.35">
      <c r="B34" s="123" t="s">
        <v>31</v>
      </c>
      <c r="C34" s="124"/>
      <c r="D34" s="125"/>
      <c r="E34" s="19"/>
      <c r="F34" s="20"/>
      <c r="G34" s="24"/>
      <c r="H34" s="34">
        <f>(G30-(H31+H33))*0.01</f>
        <v>21.5</v>
      </c>
      <c r="O34" s="5">
        <v>786</v>
      </c>
    </row>
    <row r="35" spans="1:15" ht="15.75" customHeight="1" x14ac:dyDescent="0.35">
      <c r="B35" s="120" t="s">
        <v>17</v>
      </c>
      <c r="C35" s="121"/>
      <c r="D35" s="122"/>
      <c r="E35" s="19"/>
      <c r="F35" s="20"/>
      <c r="G35" s="24"/>
      <c r="H35" s="26">
        <f>H31+H33+H34</f>
        <v>21.5</v>
      </c>
      <c r="O35" s="5">
        <f>786*3</f>
        <v>2358</v>
      </c>
    </row>
    <row r="36" spans="1:15" ht="15.75" customHeight="1" x14ac:dyDescent="0.35">
      <c r="B36" s="123"/>
      <c r="C36" s="141"/>
      <c r="D36" s="125"/>
      <c r="E36" s="19"/>
      <c r="F36" s="20"/>
      <c r="H36" s="26"/>
    </row>
    <row r="37" spans="1:15" ht="15.75" customHeight="1" x14ac:dyDescent="0.35">
      <c r="B37" s="123" t="s">
        <v>18</v>
      </c>
      <c r="C37" s="124"/>
      <c r="D37" s="125"/>
      <c r="E37" s="19"/>
      <c r="F37" s="20"/>
      <c r="G37" s="21" t="s">
        <v>19</v>
      </c>
      <c r="H37" s="22"/>
    </row>
    <row r="38" spans="1:15" ht="15.75" customHeight="1" x14ac:dyDescent="0.35">
      <c r="B38" s="123" t="s">
        <v>29</v>
      </c>
      <c r="C38" s="124"/>
      <c r="D38" s="125"/>
      <c r="E38" s="19"/>
      <c r="F38" s="20"/>
      <c r="G38" s="27"/>
      <c r="H38" s="28" t="s">
        <v>19</v>
      </c>
    </row>
    <row r="39" spans="1:15" ht="15.75" customHeight="1" x14ac:dyDescent="0.35">
      <c r="B39" s="120" t="s">
        <v>20</v>
      </c>
      <c r="C39" s="121"/>
      <c r="D39" s="122"/>
      <c r="E39" s="19"/>
      <c r="F39" s="20"/>
      <c r="G39" s="26">
        <f>(G30+G36)-H35</f>
        <v>2128.5</v>
      </c>
      <c r="H39" s="22"/>
    </row>
    <row r="40" spans="1:15" x14ac:dyDescent="0.35">
      <c r="B40" s="126"/>
      <c r="C40" s="127"/>
      <c r="D40" s="128"/>
      <c r="E40" s="19"/>
      <c r="F40" s="20"/>
      <c r="G40" s="24"/>
      <c r="H40" s="22"/>
    </row>
    <row r="41" spans="1:15" ht="30" x14ac:dyDescent="0.35">
      <c r="B41" s="118" t="s">
        <v>21</v>
      </c>
      <c r="C41" s="119"/>
      <c r="D41" s="29" t="s">
        <v>22</v>
      </c>
      <c r="E41" s="44" t="s">
        <v>23</v>
      </c>
      <c r="F41" s="44" t="s">
        <v>24</v>
      </c>
      <c r="G41" s="118" t="s">
        <v>20</v>
      </c>
      <c r="H41" s="119"/>
    </row>
    <row r="42" spans="1:15" ht="15.75" customHeight="1" x14ac:dyDescent="0.35">
      <c r="B42" s="111" t="s">
        <v>94</v>
      </c>
      <c r="C42" s="112"/>
      <c r="D42" s="30">
        <f>G30</f>
        <v>2150</v>
      </c>
      <c r="E42" s="36">
        <f>H35</f>
        <v>21.5</v>
      </c>
      <c r="F42" s="36">
        <f>+G39</f>
        <v>2128.5</v>
      </c>
      <c r="G42" s="113">
        <f>+F42</f>
        <v>2128.5</v>
      </c>
      <c r="H42" s="114"/>
    </row>
    <row r="43" spans="1:15" ht="15" x14ac:dyDescent="0.35">
      <c r="B43" s="37"/>
      <c r="C43" s="37"/>
      <c r="D43" s="38"/>
      <c r="E43" s="39"/>
      <c r="F43" s="39"/>
      <c r="G43" s="39"/>
      <c r="H43" s="40"/>
    </row>
    <row r="44" spans="1:15" x14ac:dyDescent="0.35">
      <c r="A44" s="105" t="s">
        <v>25</v>
      </c>
      <c r="B44" s="5"/>
    </row>
    <row r="45" spans="1:15" x14ac:dyDescent="0.35">
      <c r="A45" s="8"/>
      <c r="B45" s="5"/>
      <c r="G45" s="142" t="s">
        <v>30</v>
      </c>
      <c r="H45" s="142"/>
    </row>
    <row r="46" spans="1:15" x14ac:dyDescent="0.35">
      <c r="G46" s="143" t="s">
        <v>83</v>
      </c>
      <c r="H46" s="143"/>
    </row>
    <row r="47" spans="1:15" ht="17.5" x14ac:dyDescent="0.35">
      <c r="E47" s="5"/>
      <c r="F47" s="5"/>
      <c r="I47" s="31"/>
    </row>
    <row r="49" spans="1:8" ht="18.5" x14ac:dyDescent="0.35">
      <c r="G49" s="43"/>
      <c r="H49" s="43"/>
    </row>
    <row r="50" spans="1:8" customFormat="1" ht="14.5" x14ac:dyDescent="0.35">
      <c r="A50" s="110" t="s">
        <v>80</v>
      </c>
      <c r="B50" s="110"/>
      <c r="C50" s="110"/>
      <c r="D50" s="110"/>
      <c r="E50" s="110"/>
      <c r="F50" s="110"/>
      <c r="G50" s="110"/>
      <c r="H50" s="110"/>
    </row>
    <row r="51" spans="1:8" customFormat="1" ht="14.5" x14ac:dyDescent="0.35">
      <c r="A51" s="117" t="s">
        <v>81</v>
      </c>
      <c r="B51" s="117"/>
      <c r="C51" s="117"/>
      <c r="D51" s="117"/>
      <c r="E51" s="117"/>
      <c r="F51" s="117"/>
      <c r="G51" s="117"/>
      <c r="H51" s="117"/>
    </row>
    <row r="52" spans="1:8" customFormat="1" ht="14.5" x14ac:dyDescent="0.35">
      <c r="A52" s="110" t="s">
        <v>82</v>
      </c>
      <c r="B52" s="110"/>
      <c r="C52" s="110"/>
      <c r="D52" s="110"/>
      <c r="E52" s="110"/>
      <c r="F52" s="110"/>
      <c r="G52" s="110"/>
      <c r="H52" s="110"/>
    </row>
  </sheetData>
  <mergeCells count="27">
    <mergeCell ref="B32:D32"/>
    <mergeCell ref="B33:D33"/>
    <mergeCell ref="A52:H52"/>
    <mergeCell ref="B41:C41"/>
    <mergeCell ref="G41:H41"/>
    <mergeCell ref="G45:H45"/>
    <mergeCell ref="A50:H50"/>
    <mergeCell ref="A51:H51"/>
    <mergeCell ref="B42:C42"/>
    <mergeCell ref="G42:H42"/>
    <mergeCell ref="G46:H46"/>
    <mergeCell ref="A19:D19"/>
    <mergeCell ref="G24:H24"/>
    <mergeCell ref="B40:D40"/>
    <mergeCell ref="B28:D28"/>
    <mergeCell ref="B26:D26"/>
    <mergeCell ref="B27:D27"/>
    <mergeCell ref="B24:D25"/>
    <mergeCell ref="B34:D34"/>
    <mergeCell ref="B36:D36"/>
    <mergeCell ref="B37:D37"/>
    <mergeCell ref="B38:D38"/>
    <mergeCell ref="B39:D39"/>
    <mergeCell ref="B35:D35"/>
    <mergeCell ref="B29:D29"/>
    <mergeCell ref="B30:D30"/>
    <mergeCell ref="B31:D31"/>
  </mergeCells>
  <hyperlinks>
    <hyperlink ref="A51" r:id="rId1" display="http://www.cloudiasolutions.com/" xr:uid="{00000000-0004-0000-0200-000000000000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Calcul de l'IRPP</vt:lpstr>
      <vt:lpstr>Avrl</vt:lpstr>
      <vt:lpstr>Mai</vt:lpstr>
      <vt:lpstr>Avrl!Zone_d_impression</vt:lpstr>
      <vt:lpstr>Mai!Zone_d_impression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KARIMA.ALOUI</dc:creator>
  <cp:lastModifiedBy>mabsout abir</cp:lastModifiedBy>
  <cp:lastPrinted>2025-01-31T11:24:04Z</cp:lastPrinted>
  <dcterms:created xsi:type="dcterms:W3CDTF">2017-01-02T10:48:18Z</dcterms:created>
  <dcterms:modified xsi:type="dcterms:W3CDTF">2025-01-31T11:24:29Z</dcterms:modified>
</cp:coreProperties>
</file>