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0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SAAD TECHNOLOGIE 2019-2021\2020-2021\achat\TATA IT\"/>
    </mc:Choice>
  </mc:AlternateContent>
  <xr:revisionPtr revIDLastSave="0" documentId="13_ncr:1_{31EF586F-A111-44D8-AB46-D8ADA331D38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ACTURE FR" sheetId="7" r:id="rId1"/>
  </sheets>
  <definedNames>
    <definedName name="_xlnm.Print_Area" localSheetId="0">'FACTURE FR'!$A$1:$G$65</definedName>
  </definedNames>
  <calcPr calcId="191029"/>
</workbook>
</file>

<file path=xl/calcChain.xml><?xml version="1.0" encoding="utf-8"?>
<calcChain xmlns="http://schemas.openxmlformats.org/spreadsheetml/2006/main">
  <c r="G32" i="7" l="1"/>
  <c r="B32" i="7" l="1"/>
  <c r="G39" i="7" l="1"/>
  <c r="G38" i="7"/>
  <c r="G37" i="7"/>
  <c r="G36" i="7"/>
  <c r="G35" i="7"/>
  <c r="G34" i="7"/>
  <c r="G40" i="7" l="1"/>
  <c r="G41" i="7" s="1"/>
  <c r="G42" i="7" l="1"/>
</calcChain>
</file>

<file path=xl/sharedStrings.xml><?xml version="1.0" encoding="utf-8"?>
<sst xmlns="http://schemas.openxmlformats.org/spreadsheetml/2006/main" count="68" uniqueCount="61">
  <si>
    <t>Description</t>
  </si>
  <si>
    <t>A :</t>
  </si>
  <si>
    <t>Conditions de règlement</t>
  </si>
  <si>
    <t xml:space="preserve">Montant total </t>
  </si>
  <si>
    <t>Période</t>
  </si>
  <si>
    <t xml:space="preserve">Service Facturation </t>
  </si>
  <si>
    <t>N° TVA intracommunautaire</t>
  </si>
  <si>
    <t>Montant total HT</t>
  </si>
  <si>
    <t>Montant Total TTC</t>
  </si>
  <si>
    <t>Capital Social</t>
  </si>
  <si>
    <t>Capital Social (si société)</t>
  </si>
  <si>
    <t>N° de RCS</t>
  </si>
  <si>
    <t>Adresse :</t>
  </si>
  <si>
    <t>Téléphone :</t>
  </si>
  <si>
    <t>Destinataire :</t>
  </si>
  <si>
    <t>Email :</t>
  </si>
  <si>
    <t>CP -Ville :</t>
  </si>
  <si>
    <t>COORDONNEES BANCAIRES</t>
  </si>
  <si>
    <t>Code NAF</t>
  </si>
  <si>
    <t>6202A</t>
  </si>
  <si>
    <t>Code NAF(si société)</t>
  </si>
  <si>
    <t>FACTURE N° :</t>
  </si>
  <si>
    <t>Intervenant :</t>
  </si>
  <si>
    <t>Ref Bon de commande / Contrat</t>
  </si>
  <si>
    <t>Période Activité :</t>
  </si>
  <si>
    <t>DU :</t>
  </si>
  <si>
    <t>00339.51.28.96.10</t>
  </si>
  <si>
    <t>lahmar.ahmed@gmail.com</t>
  </si>
  <si>
    <t xml:space="preserve"> SAS SAAD TECHNOLOGIE</t>
  </si>
  <si>
    <t>3000 Euros</t>
  </si>
  <si>
    <t>30 jours - Par Virement</t>
  </si>
  <si>
    <t>De : TATA IT</t>
  </si>
  <si>
    <t xml:space="preserve">Destinataire : </t>
  </si>
  <si>
    <t>Service Facturation</t>
  </si>
  <si>
    <t>37, Rue 18 Janvier 1952</t>
  </si>
  <si>
    <t>3200 Tataouine-Tunisie</t>
  </si>
  <si>
    <t>3000 Dinars</t>
  </si>
  <si>
    <t>TATA IT</t>
  </si>
  <si>
    <t>Siège social TATA IT: 37, rue 18 Janvier 1952 Tataouine 3200 Tunisie</t>
  </si>
  <si>
    <t>Tél-Fax  : 75 861 622</t>
  </si>
  <si>
    <t>D21412016</t>
  </si>
  <si>
    <t>1466420K/A/M/000</t>
  </si>
  <si>
    <t>Republique Tunisiene</t>
  </si>
  <si>
    <t>*****</t>
  </si>
  <si>
    <t>TVA 0%</t>
  </si>
  <si>
    <t>Référence</t>
  </si>
  <si>
    <t>Quantité EN RESSOURCES</t>
  </si>
  <si>
    <t>Quantité En Jours</t>
  </si>
  <si>
    <t>Prix unitaire H.T.</t>
  </si>
  <si>
    <t>tarek.lahmar@tata-it.net</t>
  </si>
  <si>
    <r>
      <rPr>
        <b/>
        <sz val="9"/>
        <rFont val="Arial"/>
        <family val="2"/>
      </rPr>
      <t>Banque:</t>
    </r>
    <r>
      <rPr>
        <sz val="9"/>
        <rFont val="Arial"/>
        <family val="2"/>
      </rPr>
      <t xml:space="preserve"> Amen Bank</t>
    </r>
  </si>
  <si>
    <r>
      <t>Ville Banque:</t>
    </r>
    <r>
      <rPr>
        <sz val="9"/>
        <rFont val="Arial"/>
        <family val="2"/>
      </rPr>
      <t>Tatataouine</t>
    </r>
  </si>
  <si>
    <r>
      <rPr>
        <b/>
        <sz val="9"/>
        <rFont val="Arial"/>
        <family val="2"/>
      </rPr>
      <t>IBAN:</t>
    </r>
    <r>
      <rPr>
        <sz val="9"/>
        <rFont val="Arial"/>
        <family val="2"/>
      </rPr>
      <t>TN5907409006110111018846</t>
    </r>
  </si>
  <si>
    <r>
      <rPr>
        <b/>
        <sz val="9"/>
        <rFont val="Arial"/>
        <family val="2"/>
      </rPr>
      <t>Code Bic:</t>
    </r>
    <r>
      <rPr>
        <sz val="9"/>
        <rFont val="Arial"/>
        <family val="2"/>
      </rPr>
      <t xml:space="preserve"> CFCTTNTT</t>
    </r>
  </si>
  <si>
    <t>Immatriculation au RC de Tataouine N° B21144882016 – Matricule Fiscal : 1466420K/A/M/000</t>
  </si>
  <si>
    <r>
      <t>Site Web :</t>
    </r>
    <r>
      <rPr>
        <u/>
        <sz val="11"/>
        <color rgb="FF000099"/>
        <rFont val="Calibri"/>
        <family val="2"/>
      </rPr>
      <t>www.tata-it.com.tn</t>
    </r>
    <r>
      <rPr>
        <sz val="11"/>
        <rFont val="Calibri"/>
        <family val="2"/>
      </rPr>
      <t xml:space="preserve">    -   E-Mail : </t>
    </r>
    <r>
      <rPr>
        <u/>
        <sz val="11"/>
        <color rgb="FF000099"/>
        <rFont val="Calibri"/>
        <family val="2"/>
      </rPr>
      <t>tarek.lahmar@tata-it.net</t>
    </r>
  </si>
  <si>
    <t>1 Résidence Du VAL</t>
  </si>
  <si>
    <t>91120 PALAISEAU</t>
  </si>
  <si>
    <t>PRESTATION  dev JAVA JEE</t>
  </si>
  <si>
    <t>14/2019</t>
  </si>
  <si>
    <t>FR2019-005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</si>
</sst>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_-* #,##0.00\ _€_-;\-* #,##0.00\ _€_-;_-* &quot;-&quot;??\ _€_-;_-@_-"/>
    <numFmt numFmtId="165" formatCode="_(&quot;$&quot;* #,##0.00_);_(&quot;$&quot;* \(#,##0.00\);_(&quot;$&quot;* &quot;-&quot;??_);_(@_)"/>
    <numFmt numFmtId="166" formatCode="[$-40C]mmm\-yy;@"/>
  </numFmts>
  <fonts count="23" x14ac:knownFonts="1">
    <font>
      <sz val="10"/>
      <name val="Arial"/>
    </font>
    <font>
      <u/>
      <sz val="10"/>
      <color indexed="12"/>
      <name val="Arial"/>
      <family val="2"/>
    </font>
    <font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sz val="18"/>
      <name val="Arial"/>
      <family val="2"/>
    </font>
    <font>
      <b/>
      <sz val="8"/>
      <color theme="0"/>
      <name val="Century Gothic"/>
      <family val="2"/>
    </font>
    <font>
      <sz val="10"/>
      <color rgb="FFFF0000"/>
      <name val="Arial"/>
      <family val="2"/>
    </font>
    <font>
      <b/>
      <sz val="10"/>
      <name val="Times New Roman"/>
      <family val="1"/>
    </font>
    <font>
      <b/>
      <sz val="12"/>
      <name val="Calibri"/>
      <family val="2"/>
      <scheme val="minor"/>
    </font>
    <font>
      <sz val="12"/>
      <name val="Calibri"/>
      <family val="2"/>
      <scheme val="minor"/>
    </font>
    <font>
      <b/>
      <sz val="12"/>
      <color rgb="FFFF6600"/>
      <name val="Calibri"/>
      <family val="2"/>
      <scheme val="minor"/>
    </font>
    <font>
      <b/>
      <sz val="12"/>
      <color theme="1" tint="0.249977111117893"/>
      <name val="Calibri"/>
      <family val="2"/>
      <scheme val="minor"/>
    </font>
    <font>
      <b/>
      <i/>
      <sz val="12"/>
      <name val="Calibri"/>
      <family val="2"/>
      <scheme val="minor"/>
    </font>
    <font>
      <u/>
      <sz val="12"/>
      <color indexed="12"/>
      <name val="Calibri"/>
      <family val="2"/>
      <scheme val="minor"/>
    </font>
    <font>
      <b/>
      <sz val="12"/>
      <color theme="0"/>
      <name val="Calibri"/>
      <family val="2"/>
      <scheme val="minor"/>
    </font>
    <font>
      <i/>
      <sz val="12"/>
      <name val="Calibri"/>
      <family val="2"/>
      <scheme val="minor"/>
    </font>
    <font>
      <b/>
      <sz val="12"/>
      <color theme="1" tint="0.14999847407452621"/>
      <name val="Calibri"/>
      <family val="2"/>
      <scheme val="minor"/>
    </font>
    <font>
      <sz val="11"/>
      <name val="Calibri"/>
      <family val="2"/>
      <scheme val="minor"/>
    </font>
    <font>
      <b/>
      <sz val="14"/>
      <name val="Calibri"/>
      <family val="2"/>
      <scheme val="minor"/>
    </font>
    <font>
      <b/>
      <sz val="9"/>
      <name val="Arial"/>
      <family val="2"/>
    </font>
    <font>
      <sz val="11"/>
      <name val="Calibri"/>
      <family val="2"/>
    </font>
    <font>
      <u/>
      <sz val="11"/>
      <color rgb="FF000099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35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22"/>
      </top>
      <bottom/>
      <diagonal/>
    </border>
    <border>
      <left/>
      <right/>
      <top/>
      <bottom style="thin">
        <color indexed="22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22"/>
      </bottom>
      <diagonal/>
    </border>
    <border>
      <left style="thin">
        <color indexed="22"/>
      </left>
      <right style="thin">
        <color indexed="64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/>
      <bottom style="thin">
        <color indexed="22"/>
      </bottom>
      <diagonal/>
    </border>
    <border>
      <left style="thin">
        <color indexed="64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22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22"/>
      </left>
      <right/>
      <top style="thin">
        <color indexed="22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22"/>
      </bottom>
      <diagonal/>
    </border>
    <border>
      <left/>
      <right/>
      <top style="thin">
        <color indexed="64"/>
      </top>
      <bottom style="thin">
        <color indexed="22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22"/>
      </top>
      <bottom style="thin">
        <color theme="0" tint="-0.249977111117893"/>
      </bottom>
      <diagonal/>
    </border>
    <border>
      <left/>
      <right style="thin">
        <color indexed="22"/>
      </right>
      <top style="thin">
        <color indexed="22"/>
      </top>
      <bottom style="thin">
        <color theme="0" tint="-0.249977111117893"/>
      </bottom>
      <diagonal/>
    </border>
    <border>
      <left style="thin">
        <color indexed="64"/>
      </left>
      <right/>
      <top style="thin">
        <color indexed="22"/>
      </top>
      <bottom style="thin">
        <color theme="0" tint="-0.249977111117893"/>
      </bottom>
      <diagonal/>
    </border>
    <border>
      <left/>
      <right style="thin">
        <color indexed="64"/>
      </right>
      <top style="thin">
        <color indexed="22"/>
      </top>
      <bottom style="thin">
        <color theme="0" tint="-0.249977111117893"/>
      </bottom>
      <diagonal/>
    </border>
  </borders>
  <cellStyleXfs count="8">
    <xf numFmtId="0" fontId="0" fillId="0" borderId="0"/>
    <xf numFmtId="164" fontId="3" fillId="0" borderId="0" applyFont="0" applyFill="0" applyBorder="0" applyAlignment="0" applyProtection="0"/>
    <xf numFmtId="165" fontId="2" fillId="0" borderId="0" applyFont="0" applyFill="0" applyBorder="0" applyAlignment="0" applyProtection="0"/>
    <xf numFmtId="44" fontId="3" fillId="0" borderId="0" applyFont="0" applyFill="0" applyBorder="0" applyAlignment="0" applyProtection="0"/>
    <xf numFmtId="0" fontId="1" fillId="0" borderId="0" applyNumberFormat="0" applyFill="0" applyBorder="0" applyAlignment="0" applyProtection="0">
      <alignment vertical="top"/>
      <protection locked="0"/>
    </xf>
    <xf numFmtId="0" fontId="2" fillId="0" borderId="0"/>
    <xf numFmtId="9" fontId="3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53">
    <xf numFmtId="0" fontId="0" fillId="0" borderId="0" xfId="0"/>
    <xf numFmtId="0" fontId="4" fillId="0" borderId="0" xfId="0" applyFont="1"/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4" fillId="0" borderId="4" xfId="0" applyFont="1" applyBorder="1"/>
    <xf numFmtId="0" fontId="4" fillId="0" borderId="0" xfId="0" applyFont="1" applyAlignment="1">
      <alignment vertical="center" wrapText="1"/>
    </xf>
    <xf numFmtId="0" fontId="6" fillId="4" borderId="11" xfId="5" applyFont="1" applyFill="1" applyBorder="1" applyAlignment="1">
      <alignment horizontal="center"/>
    </xf>
    <xf numFmtId="0" fontId="6" fillId="4" borderId="9" xfId="5" applyFont="1" applyFill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4" fillId="0" borderId="15" xfId="0" applyFont="1" applyBorder="1"/>
    <xf numFmtId="0" fontId="5" fillId="0" borderId="0" xfId="0" applyFont="1"/>
    <xf numFmtId="0" fontId="10" fillId="0" borderId="0" xfId="5" applyFont="1"/>
    <xf numFmtId="0" fontId="10" fillId="0" borderId="0" xfId="0" applyFont="1" applyAlignment="1">
      <alignment horizontal="center"/>
    </xf>
    <xf numFmtId="0" fontId="10" fillId="0" borderId="0" xfId="0" applyFont="1"/>
    <xf numFmtId="0" fontId="10" fillId="0" borderId="16" xfId="0" applyFont="1" applyBorder="1" applyAlignment="1">
      <alignment horizontal="center"/>
    </xf>
    <xf numFmtId="0" fontId="10" fillId="0" borderId="17" xfId="0" applyFont="1" applyBorder="1"/>
    <xf numFmtId="0" fontId="10" fillId="0" borderId="18" xfId="0" applyFont="1" applyBorder="1"/>
    <xf numFmtId="0" fontId="12" fillId="0" borderId="5" xfId="5" applyFont="1" applyBorder="1" applyAlignment="1">
      <alignment vertical="center"/>
    </xf>
    <xf numFmtId="0" fontId="12" fillId="0" borderId="0" xfId="5" applyFont="1" applyAlignment="1">
      <alignment vertical="center"/>
    </xf>
    <xf numFmtId="0" fontId="12" fillId="0" borderId="0" xfId="5" applyFont="1" applyAlignment="1">
      <alignment horizontal="center" vertical="center"/>
    </xf>
    <xf numFmtId="0" fontId="12" fillId="0" borderId="0" xfId="5" applyFont="1" applyAlignment="1">
      <alignment horizontal="center" wrapText="1"/>
    </xf>
    <xf numFmtId="0" fontId="10" fillId="0" borderId="5" xfId="0" applyFont="1" applyBorder="1"/>
    <xf numFmtId="0" fontId="10" fillId="0" borderId="0" xfId="5" applyFont="1" applyAlignment="1">
      <alignment horizontal="left" vertical="center"/>
    </xf>
    <xf numFmtId="0" fontId="10" fillId="0" borderId="8" xfId="0" applyFont="1" applyBorder="1"/>
    <xf numFmtId="0" fontId="12" fillId="3" borderId="5" xfId="0" applyFont="1" applyFill="1" applyBorder="1" applyAlignment="1">
      <alignment vertical="center"/>
    </xf>
    <xf numFmtId="0" fontId="10" fillId="0" borderId="0" xfId="0" applyFont="1" applyAlignment="1">
      <alignment horizontal="left" vertical="center"/>
    </xf>
    <xf numFmtId="0" fontId="12" fillId="3" borderId="5" xfId="0" applyFont="1" applyFill="1" applyBorder="1"/>
    <xf numFmtId="0" fontId="10" fillId="0" borderId="5" xfId="0" applyFont="1" applyBorder="1" applyAlignment="1">
      <alignment horizontal="center"/>
    </xf>
    <xf numFmtId="0" fontId="10" fillId="0" borderId="0" xfId="5" applyFont="1" applyAlignment="1">
      <alignment horizontal="right"/>
    </xf>
    <xf numFmtId="0" fontId="14" fillId="0" borderId="0" xfId="4" applyFont="1" applyBorder="1" applyAlignment="1" applyProtection="1">
      <alignment horizontal="left" vertical="center"/>
    </xf>
    <xf numFmtId="0" fontId="14" fillId="0" borderId="8" xfId="4" applyFont="1" applyBorder="1" applyAlignment="1" applyProtection="1">
      <alignment horizontal="left" vertical="center"/>
    </xf>
    <xf numFmtId="0" fontId="10" fillId="6" borderId="7" xfId="0" applyFont="1" applyFill="1" applyBorder="1"/>
    <xf numFmtId="0" fontId="15" fillId="4" borderId="16" xfId="0" applyFont="1" applyFill="1" applyBorder="1" applyAlignment="1">
      <alignment horizontal="left" vertical="center" wrapText="1"/>
    </xf>
    <xf numFmtId="0" fontId="15" fillId="4" borderId="17" xfId="0" applyFont="1" applyFill="1" applyBorder="1" applyAlignment="1">
      <alignment horizontal="left" vertical="center" wrapText="1"/>
    </xf>
    <xf numFmtId="3" fontId="10" fillId="0" borderId="6" xfId="0" applyNumberFormat="1" applyFont="1" applyBorder="1" applyAlignment="1">
      <alignment horizontal="left"/>
    </xf>
    <xf numFmtId="0" fontId="10" fillId="6" borderId="6" xfId="0" applyFont="1" applyFill="1" applyBorder="1"/>
    <xf numFmtId="0" fontId="15" fillId="4" borderId="5" xfId="0" applyFont="1" applyFill="1" applyBorder="1" applyAlignment="1">
      <alignment horizontal="left" vertical="center" wrapText="1"/>
    </xf>
    <xf numFmtId="0" fontId="15" fillId="4" borderId="0" xfId="0" applyFont="1" applyFill="1" applyAlignment="1">
      <alignment horizontal="left" vertical="center" wrapText="1"/>
    </xf>
    <xf numFmtId="0" fontId="10" fillId="0" borderId="6" xfId="0" applyFont="1" applyBorder="1" applyAlignment="1">
      <alignment horizontal="left"/>
    </xf>
    <xf numFmtId="0" fontId="15" fillId="4" borderId="14" xfId="0" applyFont="1" applyFill="1" applyBorder="1" applyAlignment="1">
      <alignment horizontal="left" vertical="center" wrapText="1"/>
    </xf>
    <xf numFmtId="0" fontId="15" fillId="4" borderId="15" xfId="0" applyFont="1" applyFill="1" applyBorder="1" applyAlignment="1">
      <alignment horizontal="left" vertical="center" wrapText="1"/>
    </xf>
    <xf numFmtId="0" fontId="10" fillId="0" borderId="6" xfId="0" applyFont="1" applyBorder="1"/>
    <xf numFmtId="0" fontId="10" fillId="0" borderId="5" xfId="5" applyFont="1" applyBorder="1"/>
    <xf numFmtId="0" fontId="15" fillId="4" borderId="3" xfId="5" applyFont="1" applyFill="1" applyBorder="1" applyAlignment="1">
      <alignment horizontal="center" vertical="center" wrapText="1"/>
    </xf>
    <xf numFmtId="0" fontId="15" fillId="4" borderId="9" xfId="5" applyFont="1" applyFill="1" applyBorder="1" applyAlignment="1">
      <alignment horizontal="center" vertical="center" wrapText="1"/>
    </xf>
    <xf numFmtId="0" fontId="16" fillId="6" borderId="19" xfId="5" applyFont="1" applyFill="1" applyBorder="1" applyAlignment="1">
      <alignment horizontal="center" vertical="center"/>
    </xf>
    <xf numFmtId="2" fontId="10" fillId="2" borderId="5" xfId="5" applyNumberFormat="1" applyFont="1" applyFill="1" applyBorder="1" applyAlignment="1">
      <alignment horizontal="center"/>
    </xf>
    <xf numFmtId="2" fontId="10" fillId="2" borderId="0" xfId="5" applyNumberFormat="1" applyFont="1" applyFill="1" applyAlignment="1">
      <alignment horizontal="left"/>
    </xf>
    <xf numFmtId="0" fontId="10" fillId="2" borderId="0" xfId="5" applyFont="1" applyFill="1" applyAlignment="1">
      <alignment horizontal="left" wrapText="1"/>
    </xf>
    <xf numFmtId="165" fontId="10" fillId="2" borderId="0" xfId="5" applyNumberFormat="1" applyFont="1" applyFill="1" applyAlignment="1">
      <alignment horizontal="right"/>
    </xf>
    <xf numFmtId="2" fontId="10" fillId="6" borderId="12" xfId="5" applyNumberFormat="1" applyFont="1" applyFill="1" applyBorder="1" applyAlignment="1">
      <alignment horizontal="center" vertical="center"/>
    </xf>
    <xf numFmtId="166" fontId="10" fillId="6" borderId="3" xfId="5" applyNumberFormat="1" applyFont="1" applyFill="1" applyBorder="1" applyAlignment="1">
      <alignment horizontal="center" vertical="center"/>
    </xf>
    <xf numFmtId="0" fontId="10" fillId="6" borderId="1" xfId="5" applyFont="1" applyFill="1" applyBorder="1" applyAlignment="1">
      <alignment horizontal="left" vertical="center" wrapText="1"/>
    </xf>
    <xf numFmtId="44" fontId="10" fillId="6" borderId="1" xfId="5" applyNumberFormat="1" applyFont="1" applyFill="1" applyBorder="1" applyAlignment="1">
      <alignment vertical="center"/>
    </xf>
    <xf numFmtId="44" fontId="10" fillId="2" borderId="10" xfId="5" applyNumberFormat="1" applyFont="1" applyFill="1" applyBorder="1" applyAlignment="1">
      <alignment horizontal="right" vertical="center"/>
    </xf>
    <xf numFmtId="166" fontId="10" fillId="6" borderId="3" xfId="5" applyNumberFormat="1" applyFont="1" applyFill="1" applyBorder="1" applyAlignment="1">
      <alignment horizontal="center"/>
    </xf>
    <xf numFmtId="0" fontId="10" fillId="2" borderId="13" xfId="5" applyFont="1" applyFill="1" applyBorder="1" applyAlignment="1">
      <alignment horizontal="center" vertical="center"/>
    </xf>
    <xf numFmtId="0" fontId="10" fillId="2" borderId="2" xfId="5" applyFont="1" applyFill="1" applyBorder="1" applyAlignment="1">
      <alignment horizontal="left" vertical="center"/>
    </xf>
    <xf numFmtId="0" fontId="10" fillId="2" borderId="0" xfId="5" applyFont="1" applyFill="1" applyAlignment="1">
      <alignment horizontal="left" vertical="center"/>
    </xf>
    <xf numFmtId="44" fontId="10" fillId="2" borderId="0" xfId="5" applyNumberFormat="1" applyFont="1" applyFill="1" applyAlignment="1">
      <alignment horizontal="right" vertical="center"/>
    </xf>
    <xf numFmtId="44" fontId="10" fillId="5" borderId="10" xfId="5" applyNumberFormat="1" applyFont="1" applyFill="1" applyBorder="1" applyAlignment="1">
      <alignment horizontal="right" vertical="center"/>
    </xf>
    <xf numFmtId="0" fontId="10" fillId="2" borderId="5" xfId="5" applyFont="1" applyFill="1" applyBorder="1" applyAlignment="1">
      <alignment horizontal="center" vertical="center"/>
    </xf>
    <xf numFmtId="44" fontId="17" fillId="5" borderId="10" xfId="5" applyNumberFormat="1" applyFont="1" applyFill="1" applyBorder="1" applyAlignment="1">
      <alignment horizontal="right" vertical="center"/>
    </xf>
    <xf numFmtId="0" fontId="10" fillId="5" borderId="5" xfId="5" applyFont="1" applyFill="1" applyBorder="1"/>
    <xf numFmtId="0" fontId="10" fillId="5" borderId="0" xfId="5" applyFont="1" applyFill="1"/>
    <xf numFmtId="0" fontId="10" fillId="6" borderId="14" xfId="0" applyFont="1" applyFill="1" applyBorder="1" applyAlignment="1">
      <alignment horizontal="center"/>
    </xf>
    <xf numFmtId="0" fontId="10" fillId="6" borderId="15" xfId="0" applyFont="1" applyFill="1" applyBorder="1"/>
    <xf numFmtId="0" fontId="10" fillId="6" borderId="4" xfId="0" applyFont="1" applyFill="1" applyBorder="1"/>
    <xf numFmtId="0" fontId="8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166" fontId="18" fillId="6" borderId="3" xfId="5" applyNumberFormat="1" applyFont="1" applyFill="1" applyBorder="1" applyAlignment="1">
      <alignment horizontal="center" vertical="center" wrapText="1"/>
    </xf>
    <xf numFmtId="0" fontId="19" fillId="0" borderId="0" xfId="0" applyFont="1"/>
    <xf numFmtId="0" fontId="19" fillId="0" borderId="8" xfId="0" applyFont="1" applyBorder="1"/>
    <xf numFmtId="0" fontId="6" fillId="4" borderId="3" xfId="5" applyFont="1" applyFill="1" applyBorder="1" applyAlignment="1">
      <alignment horizontal="center"/>
    </xf>
    <xf numFmtId="0" fontId="9" fillId="6" borderId="5" xfId="0" applyFont="1" applyFill="1" applyBorder="1" applyAlignment="1">
      <alignment horizontal="center"/>
    </xf>
    <xf numFmtId="0" fontId="9" fillId="6" borderId="0" xfId="0" applyFont="1" applyFill="1" applyAlignment="1">
      <alignment horizontal="center"/>
    </xf>
    <xf numFmtId="0" fontId="9" fillId="6" borderId="8" xfId="0" applyFont="1" applyFill="1" applyBorder="1" applyAlignment="1">
      <alignment horizontal="center"/>
    </xf>
    <xf numFmtId="0" fontId="6" fillId="4" borderId="0" xfId="5" applyFont="1" applyFill="1" applyAlignment="1">
      <alignment horizontal="center"/>
    </xf>
    <xf numFmtId="0" fontId="10" fillId="6" borderId="1" xfId="5" applyFont="1" applyFill="1" applyBorder="1" applyAlignment="1">
      <alignment horizontal="center" vertical="center" wrapText="1"/>
    </xf>
    <xf numFmtId="0" fontId="4" fillId="0" borderId="17" xfId="0" applyFont="1" applyBorder="1"/>
    <xf numFmtId="0" fontId="4" fillId="0" borderId="18" xfId="0" applyFont="1" applyBorder="1"/>
    <xf numFmtId="0" fontId="4" fillId="0" borderId="5" xfId="0" applyFont="1" applyBorder="1" applyAlignment="1">
      <alignment horizontal="left"/>
    </xf>
    <xf numFmtId="0" fontId="4" fillId="0" borderId="8" xfId="0" applyFont="1" applyBorder="1"/>
    <xf numFmtId="0" fontId="20" fillId="6" borderId="5" xfId="0" applyFont="1" applyFill="1" applyBorder="1" applyAlignment="1">
      <alignment horizontal="left"/>
    </xf>
    <xf numFmtId="0" fontId="4" fillId="6" borderId="0" xfId="0" applyFont="1" applyFill="1"/>
    <xf numFmtId="0" fontId="4" fillId="6" borderId="8" xfId="0" applyFont="1" applyFill="1" applyBorder="1"/>
    <xf numFmtId="0" fontId="4" fillId="6" borderId="5" xfId="0" applyFont="1" applyFill="1" applyBorder="1" applyAlignment="1">
      <alignment horizontal="left"/>
    </xf>
    <xf numFmtId="0" fontId="21" fillId="0" borderId="14" xfId="0" applyFont="1" applyBorder="1" applyAlignment="1">
      <alignment horizontal="center"/>
    </xf>
    <xf numFmtId="0" fontId="21" fillId="0" borderId="15" xfId="0" applyFont="1" applyBorder="1" applyAlignment="1">
      <alignment horizontal="center"/>
    </xf>
    <xf numFmtId="0" fontId="21" fillId="0" borderId="4" xfId="0" applyFont="1" applyBorder="1" applyAlignment="1">
      <alignment horizontal="center"/>
    </xf>
    <xf numFmtId="0" fontId="7" fillId="0" borderId="23" xfId="0" applyFont="1" applyBorder="1" applyAlignment="1">
      <alignment horizontal="center" vertical="center" wrapText="1"/>
    </xf>
    <xf numFmtId="0" fontId="7" fillId="0" borderId="24" xfId="0" applyFont="1" applyBorder="1" applyAlignment="1">
      <alignment horizontal="center" vertical="center" wrapText="1"/>
    </xf>
    <xf numFmtId="0" fontId="7" fillId="0" borderId="25" xfId="0" applyFont="1" applyBorder="1" applyAlignment="1">
      <alignment horizontal="center" vertical="center" wrapText="1"/>
    </xf>
    <xf numFmtId="0" fontId="7" fillId="0" borderId="26" xfId="0" applyFont="1" applyBorder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7" fillId="0" borderId="27" xfId="0" applyFont="1" applyBorder="1" applyAlignment="1">
      <alignment horizontal="center" vertical="center" wrapText="1"/>
    </xf>
    <xf numFmtId="0" fontId="7" fillId="0" borderId="28" xfId="0" applyFont="1" applyBorder="1" applyAlignment="1">
      <alignment horizontal="center" vertical="center" wrapText="1"/>
    </xf>
    <xf numFmtId="0" fontId="7" fillId="0" borderId="29" xfId="0" applyFont="1" applyBorder="1" applyAlignment="1">
      <alignment horizontal="center" vertical="center" wrapText="1"/>
    </xf>
    <xf numFmtId="0" fontId="7" fillId="0" borderId="30" xfId="0" applyFont="1" applyBorder="1" applyAlignment="1">
      <alignment horizontal="center" vertical="center" wrapText="1"/>
    </xf>
    <xf numFmtId="0" fontId="9" fillId="0" borderId="0" xfId="5" applyFont="1" applyAlignment="1">
      <alignment horizontal="center" vertical="center"/>
    </xf>
    <xf numFmtId="0" fontId="9" fillId="0" borderId="8" xfId="5" applyFont="1" applyBorder="1" applyAlignment="1">
      <alignment horizontal="center" vertical="center"/>
    </xf>
    <xf numFmtId="0" fontId="15" fillId="4" borderId="16" xfId="0" applyFont="1" applyFill="1" applyBorder="1" applyAlignment="1">
      <alignment horizontal="left" vertical="center" wrapText="1"/>
    </xf>
    <xf numFmtId="0" fontId="15" fillId="4" borderId="17" xfId="0" applyFont="1" applyFill="1" applyBorder="1" applyAlignment="1">
      <alignment horizontal="left" vertical="center" wrapText="1"/>
    </xf>
    <xf numFmtId="0" fontId="15" fillId="4" borderId="14" xfId="0" applyFont="1" applyFill="1" applyBorder="1" applyAlignment="1">
      <alignment horizontal="left" vertical="center" wrapText="1"/>
    </xf>
    <xf numFmtId="0" fontId="15" fillId="4" borderId="15" xfId="0" applyFont="1" applyFill="1" applyBorder="1" applyAlignment="1">
      <alignment horizontal="left" vertical="center" wrapText="1"/>
    </xf>
    <xf numFmtId="0" fontId="15" fillId="4" borderId="5" xfId="0" applyFont="1" applyFill="1" applyBorder="1" applyAlignment="1">
      <alignment horizontal="left" vertical="center" wrapText="1"/>
    </xf>
    <xf numFmtId="0" fontId="15" fillId="4" borderId="0" xfId="0" applyFont="1" applyFill="1" applyAlignment="1">
      <alignment horizontal="left" vertical="center" wrapText="1"/>
    </xf>
    <xf numFmtId="0" fontId="14" fillId="0" borderId="0" xfId="4" applyFont="1" applyBorder="1" applyAlignment="1" applyProtection="1">
      <alignment horizontal="left" vertical="center"/>
    </xf>
    <xf numFmtId="0" fontId="14" fillId="0" borderId="8" xfId="4" applyFont="1" applyBorder="1" applyAlignment="1" applyProtection="1">
      <alignment horizontal="left" vertical="center"/>
    </xf>
    <xf numFmtId="0" fontId="13" fillId="6" borderId="0" xfId="5" applyFont="1" applyFill="1" applyAlignment="1">
      <alignment horizontal="center" vertical="center"/>
    </xf>
    <xf numFmtId="0" fontId="13" fillId="6" borderId="8" xfId="5" applyFont="1" applyFill="1" applyBorder="1" applyAlignment="1">
      <alignment horizontal="center" vertical="center"/>
    </xf>
    <xf numFmtId="0" fontId="10" fillId="6" borderId="0" xfId="5" applyFont="1" applyFill="1" applyAlignment="1">
      <alignment horizontal="center" vertical="center"/>
    </xf>
    <xf numFmtId="0" fontId="10" fillId="6" borderId="8" xfId="5" applyFont="1" applyFill="1" applyBorder="1" applyAlignment="1">
      <alignment horizontal="center" vertical="center"/>
    </xf>
    <xf numFmtId="0" fontId="10" fillId="0" borderId="0" xfId="5" applyFont="1" applyAlignment="1">
      <alignment horizontal="left" vertical="center"/>
    </xf>
    <xf numFmtId="0" fontId="10" fillId="0" borderId="8" xfId="5" applyFont="1" applyBorder="1" applyAlignment="1">
      <alignment horizontal="left" vertical="center"/>
    </xf>
    <xf numFmtId="0" fontId="14" fillId="6" borderId="0" xfId="4" applyFont="1" applyFill="1" applyBorder="1" applyAlignment="1" applyProtection="1">
      <alignment horizontal="center" vertical="center"/>
    </xf>
    <xf numFmtId="0" fontId="11" fillId="0" borderId="17" xfId="5" applyFont="1" applyBorder="1" applyAlignment="1">
      <alignment horizontal="center" vertical="center"/>
    </xf>
    <xf numFmtId="0" fontId="11" fillId="0" borderId="18" xfId="5" applyFont="1" applyBorder="1" applyAlignment="1">
      <alignment horizontal="center" vertical="center"/>
    </xf>
    <xf numFmtId="0" fontId="11" fillId="0" borderId="15" xfId="5" applyFont="1" applyBorder="1" applyAlignment="1">
      <alignment horizontal="center" vertical="center"/>
    </xf>
    <xf numFmtId="0" fontId="11" fillId="0" borderId="4" xfId="5" applyFont="1" applyBorder="1" applyAlignment="1">
      <alignment horizontal="center" vertical="center"/>
    </xf>
    <xf numFmtId="0" fontId="9" fillId="0" borderId="16" xfId="0" applyFont="1" applyBorder="1" applyAlignment="1">
      <alignment horizontal="center" vertical="center"/>
    </xf>
    <xf numFmtId="0" fontId="9" fillId="0" borderId="14" xfId="0" applyFont="1" applyBorder="1" applyAlignment="1">
      <alignment horizontal="center" vertical="center"/>
    </xf>
    <xf numFmtId="0" fontId="19" fillId="0" borderId="0" xfId="0" applyFont="1" applyAlignment="1">
      <alignment horizontal="center"/>
    </xf>
    <xf numFmtId="0" fontId="19" fillId="0" borderId="8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17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9" fillId="0" borderId="0" xfId="0" applyFont="1" applyAlignment="1">
      <alignment horizontal="center"/>
    </xf>
    <xf numFmtId="0" fontId="9" fillId="0" borderId="8" xfId="0" applyFont="1" applyBorder="1" applyAlignment="1">
      <alignment horizontal="center"/>
    </xf>
    <xf numFmtId="0" fontId="9" fillId="6" borderId="5" xfId="0" applyFont="1" applyFill="1" applyBorder="1" applyAlignment="1">
      <alignment horizontal="center"/>
    </xf>
    <xf numFmtId="0" fontId="9" fillId="6" borderId="0" xfId="0" applyFont="1" applyFill="1" applyAlignment="1">
      <alignment horizontal="center"/>
    </xf>
    <xf numFmtId="0" fontId="9" fillId="6" borderId="8" xfId="0" applyFont="1" applyFill="1" applyBorder="1" applyAlignment="1">
      <alignment horizontal="center"/>
    </xf>
    <xf numFmtId="0" fontId="13" fillId="0" borderId="0" xfId="5" applyFont="1" applyAlignment="1">
      <alignment horizontal="left" vertical="center"/>
    </xf>
    <xf numFmtId="0" fontId="13" fillId="0" borderId="8" xfId="5" applyFont="1" applyBorder="1" applyAlignment="1">
      <alignment horizontal="left" vertical="center"/>
    </xf>
    <xf numFmtId="0" fontId="16" fillId="6" borderId="33" xfId="5" applyFont="1" applyFill="1" applyBorder="1" applyAlignment="1">
      <alignment horizontal="center" vertical="center"/>
    </xf>
    <xf numFmtId="0" fontId="16" fillId="6" borderId="31" xfId="5" applyFont="1" applyFill="1" applyBorder="1" applyAlignment="1">
      <alignment horizontal="center" vertical="center"/>
    </xf>
    <xf numFmtId="0" fontId="16" fillId="6" borderId="34" xfId="5" applyFont="1" applyFill="1" applyBorder="1" applyAlignment="1">
      <alignment horizontal="center" vertical="center"/>
    </xf>
    <xf numFmtId="0" fontId="15" fillId="4" borderId="11" xfId="5" applyFont="1" applyFill="1" applyBorder="1" applyAlignment="1">
      <alignment horizontal="center" vertical="center" wrapText="1"/>
    </xf>
    <xf numFmtId="0" fontId="15" fillId="4" borderId="3" xfId="5" applyFont="1" applyFill="1" applyBorder="1" applyAlignment="1">
      <alignment horizontal="center" vertical="center" wrapText="1"/>
    </xf>
    <xf numFmtId="0" fontId="16" fillId="6" borderId="32" xfId="5" applyFont="1" applyFill="1" applyBorder="1" applyAlignment="1">
      <alignment horizontal="center" vertical="center"/>
    </xf>
    <xf numFmtId="0" fontId="6" fillId="4" borderId="20" xfId="5" applyFont="1" applyFill="1" applyBorder="1" applyAlignment="1">
      <alignment horizontal="center"/>
    </xf>
    <xf numFmtId="0" fontId="6" fillId="4" borderId="21" xfId="5" applyFont="1" applyFill="1" applyBorder="1" applyAlignment="1">
      <alignment horizontal="center"/>
    </xf>
    <xf numFmtId="49" fontId="12" fillId="6" borderId="0" xfId="5" applyNumberFormat="1" applyFont="1" applyFill="1" applyAlignment="1">
      <alignment horizontal="center" vertical="center"/>
    </xf>
    <xf numFmtId="14" fontId="12" fillId="6" borderId="22" xfId="5" applyNumberFormat="1" applyFont="1" applyFill="1" applyBorder="1" applyAlignment="1">
      <alignment horizontal="center" vertical="center"/>
    </xf>
    <xf numFmtId="14" fontId="12" fillId="6" borderId="7" xfId="5" applyNumberFormat="1" applyFont="1" applyFill="1" applyBorder="1" applyAlignment="1">
      <alignment horizontal="center" vertical="center"/>
    </xf>
    <xf numFmtId="0" fontId="12" fillId="6" borderId="0" xfId="5" applyFont="1" applyFill="1" applyAlignment="1">
      <alignment horizontal="center" vertical="center"/>
    </xf>
    <xf numFmtId="166" fontId="12" fillId="6" borderId="22" xfId="5" applyNumberFormat="1" applyFont="1" applyFill="1" applyBorder="1" applyAlignment="1">
      <alignment horizontal="center" vertical="center"/>
    </xf>
    <xf numFmtId="166" fontId="12" fillId="6" borderId="7" xfId="5" applyNumberFormat="1" applyFont="1" applyFill="1" applyBorder="1" applyAlignment="1">
      <alignment horizontal="center" vertical="center"/>
    </xf>
    <xf numFmtId="0" fontId="10" fillId="6" borderId="17" xfId="5" applyFont="1" applyFill="1" applyBorder="1" applyAlignment="1">
      <alignment horizontal="center" vertical="center"/>
    </xf>
    <xf numFmtId="0" fontId="10" fillId="6" borderId="18" xfId="5" applyFont="1" applyFill="1" applyBorder="1" applyAlignment="1">
      <alignment horizontal="center" vertical="center"/>
    </xf>
    <xf numFmtId="0" fontId="10" fillId="6" borderId="15" xfId="5" applyFont="1" applyFill="1" applyBorder="1" applyAlignment="1">
      <alignment horizontal="center" vertical="center"/>
    </xf>
    <xf numFmtId="0" fontId="10" fillId="6" borderId="4" xfId="5" applyFont="1" applyFill="1" applyBorder="1" applyAlignment="1">
      <alignment horizontal="center" vertical="center"/>
    </xf>
  </cellXfs>
  <cellStyles count="8">
    <cellStyle name="Comma 2" xfId="1" xr:uid="{00000000-0005-0000-0000-000000000000}"/>
    <cellStyle name="Currency 2" xfId="2" xr:uid="{00000000-0005-0000-0000-000001000000}"/>
    <cellStyle name="Euro" xfId="3" xr:uid="{00000000-0005-0000-0000-000002000000}"/>
    <cellStyle name="Lien hypertexte" xfId="4" builtinId="8"/>
    <cellStyle name="Normal" xfId="0" builtinId="0"/>
    <cellStyle name="Normal 2" xfId="5" xr:uid="{00000000-0005-0000-0000-000005000000}"/>
    <cellStyle name="Percent 2" xfId="6" xr:uid="{00000000-0005-0000-0000-000006000000}"/>
    <cellStyle name="Percent 3" xfId="7" xr:uid="{00000000-0005-0000-0000-000007000000}"/>
  </cellStyles>
  <dxfs count="0"/>
  <tableStyles count="0" defaultTableStyle="TableStyleMedium9" defaultPivotStyle="PivotStyleLight16"/>
  <colors>
    <mruColors>
      <color rgb="FFFFFF99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857249</xdr:colOff>
      <xdr:row>1</xdr:row>
      <xdr:rowOff>71438</xdr:rowOff>
    </xdr:from>
    <xdr:to>
      <xdr:col>6</xdr:col>
      <xdr:colOff>916781</xdr:colOff>
      <xdr:row>5</xdr:row>
      <xdr:rowOff>66675</xdr:rowOff>
    </xdr:to>
    <xdr:pic>
      <xdr:nvPicPr>
        <xdr:cNvPr id="2" name="Image 1" descr="https://ci3.googleusercontent.com/proxy/ZNKXliCFhuxjdGxoU_HhZxrr_Ul5nFibScRkDHOCO_r9GEE1PjKxXUlN9ImdId3l_o5dCQEUeaOcOQkMtqgHubVrYVl3m_9nWjjVGHq7ph2iC9fiSDOSQdII=s0-d-e1-ft#https://tata-it.com.tn/wp-content/uploads/2017/04/cropped-images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655843" y="226219"/>
          <a:ext cx="1083469" cy="75723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arek.lahmar@tata-it.net" TargetMode="External"/><Relationship Id="rId2" Type="http://schemas.openxmlformats.org/officeDocument/2006/relationships/hyperlink" Target="mailto:lahmar.ahmed@gmail.com" TargetMode="External"/><Relationship Id="rId1" Type="http://schemas.openxmlformats.org/officeDocument/2006/relationships/hyperlink" Target="mailto:bo@emagine.org" TargetMode="External"/><Relationship Id="rId6" Type="http://schemas.openxmlformats.org/officeDocument/2006/relationships/vmlDrawing" Target="../drawings/vmlDrawing1.v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2:M64"/>
  <sheetViews>
    <sheetView showGridLines="0" tabSelected="1" zoomScale="80" zoomScaleNormal="80" workbookViewId="0">
      <selection activeCell="K46" sqref="K46"/>
    </sheetView>
  </sheetViews>
  <sheetFormatPr baseColWidth="10" defaultColWidth="9.140625" defaultRowHeight="12" x14ac:dyDescent="0.2"/>
  <cols>
    <col min="1" max="1" width="20.7109375" style="3" customWidth="1"/>
    <col min="2" max="2" width="15.7109375" style="1" customWidth="1"/>
    <col min="3" max="3" width="23.5703125" style="1" customWidth="1"/>
    <col min="4" max="4" width="28.5703125" style="1" customWidth="1"/>
    <col min="5" max="5" width="28.42578125" style="1" customWidth="1"/>
    <col min="6" max="6" width="15.28515625" style="1" customWidth="1"/>
    <col min="7" max="7" width="14" style="1" customWidth="1"/>
    <col min="8" max="12" width="9.140625" style="1"/>
    <col min="13" max="13" width="12.85546875" style="1" customWidth="1"/>
    <col min="14" max="16384" width="9.140625" style="1"/>
  </cols>
  <sheetData>
    <row r="2" spans="1:13" ht="15.75" x14ac:dyDescent="0.25">
      <c r="A2" s="68" t="s">
        <v>42</v>
      </c>
      <c r="B2" s="13"/>
      <c r="C2" s="13"/>
      <c r="D2" s="13"/>
      <c r="E2" s="13"/>
      <c r="F2" s="13"/>
      <c r="G2" s="13"/>
    </row>
    <row r="3" spans="1:13" ht="15.75" x14ac:dyDescent="0.25">
      <c r="A3" s="68" t="s">
        <v>43</v>
      </c>
      <c r="B3" s="13"/>
      <c r="C3" s="13"/>
      <c r="D3" s="13"/>
      <c r="E3" s="13"/>
      <c r="F3" s="13"/>
      <c r="G3" s="13"/>
    </row>
    <row r="4" spans="1:13" ht="15.75" x14ac:dyDescent="0.25">
      <c r="A4" s="69" t="s">
        <v>37</v>
      </c>
      <c r="B4" s="13"/>
      <c r="C4" s="13"/>
      <c r="D4" s="13"/>
      <c r="E4" s="13"/>
      <c r="F4" s="13"/>
      <c r="G4" s="13"/>
    </row>
    <row r="8" spans="1:13" ht="15.75" x14ac:dyDescent="0.25">
      <c r="A8" s="12"/>
      <c r="B8" s="13"/>
      <c r="C8" s="13"/>
      <c r="D8" s="13"/>
      <c r="E8" s="13"/>
      <c r="F8" s="13"/>
      <c r="G8" s="13"/>
    </row>
    <row r="9" spans="1:13" ht="15.75" x14ac:dyDescent="0.25">
      <c r="A9" s="12"/>
      <c r="B9" s="13"/>
      <c r="C9" s="13"/>
      <c r="D9" s="13"/>
      <c r="E9" s="13"/>
      <c r="F9" s="13"/>
      <c r="G9" s="13"/>
    </row>
    <row r="10" spans="1:13" ht="15.75" x14ac:dyDescent="0.25">
      <c r="A10" s="12"/>
      <c r="B10" s="13"/>
      <c r="C10" s="13"/>
      <c r="D10" s="13"/>
      <c r="E10" s="13"/>
      <c r="F10" s="13"/>
      <c r="G10" s="13"/>
    </row>
    <row r="11" spans="1:13" ht="43.5" customHeight="1" x14ac:dyDescent="0.25">
      <c r="A11" s="14"/>
      <c r="B11" s="15"/>
      <c r="C11" s="15"/>
      <c r="D11" s="15"/>
      <c r="E11" s="15"/>
      <c r="F11" s="15"/>
      <c r="G11" s="16"/>
    </row>
    <row r="12" spans="1:13" s="10" customFormat="1" ht="23.25" customHeight="1" x14ac:dyDescent="0.35">
      <c r="A12" s="17" t="s">
        <v>21</v>
      </c>
      <c r="B12" s="18"/>
      <c r="C12" s="143" t="s">
        <v>59</v>
      </c>
      <c r="D12" s="143"/>
      <c r="E12" s="19" t="s">
        <v>25</v>
      </c>
      <c r="F12" s="144">
        <v>43921</v>
      </c>
      <c r="G12" s="145"/>
    </row>
    <row r="13" spans="1:13" s="10" customFormat="1" ht="29.45" customHeight="1" thickBot="1" x14ac:dyDescent="0.4">
      <c r="A13" s="17" t="s">
        <v>22</v>
      </c>
      <c r="B13" s="18"/>
      <c r="C13" s="146" t="s">
        <v>28</v>
      </c>
      <c r="D13" s="146"/>
      <c r="E13" s="20" t="s">
        <v>24</v>
      </c>
      <c r="F13" s="147">
        <v>43921</v>
      </c>
      <c r="G13" s="148"/>
    </row>
    <row r="14" spans="1:13" ht="54.75" customHeight="1" x14ac:dyDescent="0.25">
      <c r="A14" s="21"/>
      <c r="B14" s="13"/>
      <c r="C14" s="22"/>
      <c r="D14" s="11"/>
      <c r="E14" s="13"/>
      <c r="F14" s="13"/>
      <c r="G14" s="23"/>
      <c r="K14" s="90"/>
      <c r="L14" s="91"/>
      <c r="M14" s="92"/>
    </row>
    <row r="15" spans="1:13" s="2" customFormat="1" ht="15" customHeight="1" x14ac:dyDescent="0.25">
      <c r="A15" s="120" t="s">
        <v>31</v>
      </c>
      <c r="B15" s="149"/>
      <c r="C15" s="150"/>
      <c r="D15" s="11"/>
      <c r="E15" s="120" t="s">
        <v>1</v>
      </c>
      <c r="F15" s="116" t="s">
        <v>28</v>
      </c>
      <c r="G15" s="117"/>
      <c r="K15" s="93"/>
      <c r="L15" s="94"/>
      <c r="M15" s="95"/>
    </row>
    <row r="16" spans="1:13" s="2" customFormat="1" ht="15" customHeight="1" x14ac:dyDescent="0.25">
      <c r="A16" s="121"/>
      <c r="B16" s="151"/>
      <c r="C16" s="152"/>
      <c r="D16" s="11"/>
      <c r="E16" s="121"/>
      <c r="F16" s="118"/>
      <c r="G16" s="119"/>
      <c r="K16" s="93"/>
      <c r="L16" s="94"/>
      <c r="M16" s="95"/>
    </row>
    <row r="17" spans="1:13" s="2" customFormat="1" ht="12.75" customHeight="1" x14ac:dyDescent="0.2">
      <c r="A17" s="24" t="s">
        <v>32</v>
      </c>
      <c r="B17" s="109" t="s">
        <v>33</v>
      </c>
      <c r="C17" s="110"/>
      <c r="D17" s="25"/>
      <c r="E17" s="24" t="s">
        <v>14</v>
      </c>
      <c r="F17" s="133" t="s">
        <v>5</v>
      </c>
      <c r="G17" s="134"/>
      <c r="K17" s="93"/>
      <c r="L17" s="94"/>
      <c r="M17" s="95"/>
    </row>
    <row r="18" spans="1:13" s="2" customFormat="1" ht="14.25" customHeight="1" x14ac:dyDescent="0.25">
      <c r="A18" s="26" t="s">
        <v>12</v>
      </c>
      <c r="B18" s="111" t="s">
        <v>34</v>
      </c>
      <c r="C18" s="112"/>
      <c r="D18" s="25"/>
      <c r="E18" s="26" t="s">
        <v>12</v>
      </c>
      <c r="F18" s="113" t="s">
        <v>56</v>
      </c>
      <c r="G18" s="114"/>
      <c r="K18" s="93"/>
      <c r="L18" s="94"/>
      <c r="M18" s="95"/>
    </row>
    <row r="19" spans="1:13" ht="16.5" thickBot="1" x14ac:dyDescent="0.3">
      <c r="A19" s="26" t="s">
        <v>16</v>
      </c>
      <c r="B19" s="111" t="s">
        <v>35</v>
      </c>
      <c r="C19" s="112"/>
      <c r="D19" s="13"/>
      <c r="E19" s="26" t="s">
        <v>16</v>
      </c>
      <c r="F19" s="113" t="s">
        <v>57</v>
      </c>
      <c r="G19" s="114"/>
      <c r="K19" s="96"/>
      <c r="L19" s="97"/>
      <c r="M19" s="98"/>
    </row>
    <row r="20" spans="1:13" ht="15.75" x14ac:dyDescent="0.25">
      <c r="A20" s="26" t="s">
        <v>13</v>
      </c>
      <c r="B20" s="111">
        <v>21698555187</v>
      </c>
      <c r="C20" s="112"/>
      <c r="D20" s="13"/>
      <c r="E20" s="26" t="s">
        <v>13</v>
      </c>
      <c r="F20" s="113" t="s">
        <v>26</v>
      </c>
      <c r="G20" s="114"/>
    </row>
    <row r="21" spans="1:13" ht="15.75" x14ac:dyDescent="0.25">
      <c r="A21" s="26" t="s">
        <v>15</v>
      </c>
      <c r="B21" s="115" t="s">
        <v>49</v>
      </c>
      <c r="C21" s="112"/>
      <c r="D21" s="11"/>
      <c r="E21" s="26" t="s">
        <v>15</v>
      </c>
      <c r="F21" s="107" t="s">
        <v>27</v>
      </c>
      <c r="G21" s="108"/>
    </row>
    <row r="22" spans="1:13" ht="12.75" customHeight="1" x14ac:dyDescent="0.25">
      <c r="A22" s="27"/>
      <c r="B22" s="99"/>
      <c r="C22" s="100"/>
      <c r="D22" s="28"/>
      <c r="E22" s="13"/>
      <c r="F22" s="29"/>
      <c r="G22" s="30"/>
    </row>
    <row r="23" spans="1:13" ht="16.5" customHeight="1" x14ac:dyDescent="0.25">
      <c r="A23" s="101" t="s">
        <v>11</v>
      </c>
      <c r="B23" s="102"/>
      <c r="C23" s="31" t="s">
        <v>40</v>
      </c>
      <c r="D23" s="28"/>
      <c r="E23" s="32" t="s">
        <v>11</v>
      </c>
      <c r="F23" s="33"/>
      <c r="G23" s="34">
        <v>821019981</v>
      </c>
    </row>
    <row r="24" spans="1:13" ht="15.75" x14ac:dyDescent="0.25">
      <c r="A24" s="105" t="s">
        <v>10</v>
      </c>
      <c r="B24" s="106"/>
      <c r="C24" s="35" t="s">
        <v>36</v>
      </c>
      <c r="D24" s="28"/>
      <c r="E24" s="36" t="s">
        <v>9</v>
      </c>
      <c r="F24" s="37"/>
      <c r="G24" s="38" t="s">
        <v>29</v>
      </c>
    </row>
    <row r="25" spans="1:13" ht="15.75" x14ac:dyDescent="0.25">
      <c r="A25" s="105" t="s">
        <v>20</v>
      </c>
      <c r="B25" s="106"/>
      <c r="C25" s="35" t="s">
        <v>41</v>
      </c>
      <c r="D25" s="28"/>
      <c r="E25" s="36" t="s">
        <v>18</v>
      </c>
      <c r="F25" s="37"/>
      <c r="G25" s="38" t="s">
        <v>19</v>
      </c>
    </row>
    <row r="26" spans="1:13" ht="31.5" x14ac:dyDescent="0.25">
      <c r="A26" s="103" t="s">
        <v>6</v>
      </c>
      <c r="B26" s="104"/>
      <c r="C26" s="35"/>
      <c r="D26" s="28"/>
      <c r="E26" s="39" t="s">
        <v>6</v>
      </c>
      <c r="F26" s="40"/>
      <c r="G26" s="41"/>
    </row>
    <row r="27" spans="1:13" ht="13.5" customHeight="1" x14ac:dyDescent="0.25">
      <c r="A27" s="42"/>
      <c r="B27" s="11"/>
      <c r="C27" s="11"/>
      <c r="D27" s="28"/>
      <c r="E27" s="11"/>
      <c r="F27" s="11"/>
      <c r="G27" s="23"/>
    </row>
    <row r="28" spans="1:13" ht="53.25" customHeight="1" x14ac:dyDescent="0.2">
      <c r="A28" s="138" t="s">
        <v>23</v>
      </c>
      <c r="B28" s="139"/>
      <c r="C28" s="139"/>
      <c r="D28" s="43" t="s">
        <v>2</v>
      </c>
      <c r="E28" s="43"/>
      <c r="F28" s="43"/>
      <c r="G28" s="44"/>
    </row>
    <row r="29" spans="1:13" s="5" customFormat="1" ht="12.75" customHeight="1" x14ac:dyDescent="0.2">
      <c r="A29" s="135" t="s">
        <v>60</v>
      </c>
      <c r="B29" s="136"/>
      <c r="C29" s="140"/>
      <c r="D29" s="45" t="s">
        <v>30</v>
      </c>
      <c r="E29" s="135"/>
      <c r="F29" s="136"/>
      <c r="G29" s="137"/>
    </row>
    <row r="30" spans="1:13" ht="42.75" customHeight="1" x14ac:dyDescent="0.25">
      <c r="A30" s="46"/>
      <c r="B30" s="47"/>
      <c r="C30" s="48"/>
      <c r="D30" s="48"/>
      <c r="E30" s="13"/>
      <c r="F30" s="49"/>
      <c r="G30" s="23"/>
    </row>
    <row r="31" spans="1:13" ht="56.25" customHeight="1" x14ac:dyDescent="0.25">
      <c r="A31" s="6" t="s">
        <v>45</v>
      </c>
      <c r="B31" s="73" t="s">
        <v>4</v>
      </c>
      <c r="C31" s="73" t="s">
        <v>0</v>
      </c>
      <c r="D31" s="73" t="s">
        <v>46</v>
      </c>
      <c r="E31" s="73" t="s">
        <v>47</v>
      </c>
      <c r="F31" s="77" t="s">
        <v>48</v>
      </c>
      <c r="G31" s="7" t="s">
        <v>3</v>
      </c>
    </row>
    <row r="32" spans="1:13" ht="48" customHeight="1" x14ac:dyDescent="0.2">
      <c r="A32" s="50">
        <v>1</v>
      </c>
      <c r="B32" s="70">
        <f>F13</f>
        <v>43921</v>
      </c>
      <c r="C32" s="52" t="s">
        <v>58</v>
      </c>
      <c r="D32" s="78">
        <v>1</v>
      </c>
      <c r="E32" s="78">
        <v>6</v>
      </c>
      <c r="F32" s="53">
        <v>250</v>
      </c>
      <c r="G32" s="54">
        <f>E32*F32</f>
        <v>1500</v>
      </c>
    </row>
    <row r="33" spans="1:7" ht="15.75" x14ac:dyDescent="0.2">
      <c r="A33" s="50"/>
      <c r="B33" s="51"/>
      <c r="C33" s="52"/>
      <c r="D33" s="52"/>
      <c r="E33" s="52"/>
      <c r="F33" s="53"/>
      <c r="G33" s="54"/>
    </row>
    <row r="34" spans="1:7" ht="14.25" customHeight="1" x14ac:dyDescent="0.25">
      <c r="A34" s="50"/>
      <c r="B34" s="55"/>
      <c r="C34" s="52"/>
      <c r="D34" s="52"/>
      <c r="E34" s="52"/>
      <c r="F34" s="53"/>
      <c r="G34" s="54">
        <f t="shared" ref="G34:G39" si="0">A34*F34</f>
        <v>0</v>
      </c>
    </row>
    <row r="35" spans="1:7" ht="14.25" customHeight="1" x14ac:dyDescent="0.25">
      <c r="A35" s="50"/>
      <c r="B35" s="55"/>
      <c r="C35" s="52"/>
      <c r="D35" s="52"/>
      <c r="E35" s="52"/>
      <c r="F35" s="53"/>
      <c r="G35" s="54">
        <f t="shared" si="0"/>
        <v>0</v>
      </c>
    </row>
    <row r="36" spans="1:7" ht="14.25" customHeight="1" x14ac:dyDescent="0.25">
      <c r="A36" s="50"/>
      <c r="B36" s="55"/>
      <c r="C36" s="52"/>
      <c r="D36" s="52"/>
      <c r="E36" s="52"/>
      <c r="F36" s="53"/>
      <c r="G36" s="54">
        <f t="shared" si="0"/>
        <v>0</v>
      </c>
    </row>
    <row r="37" spans="1:7" ht="14.25" customHeight="1" x14ac:dyDescent="0.25">
      <c r="A37" s="50"/>
      <c r="B37" s="55"/>
      <c r="C37" s="52"/>
      <c r="D37" s="52"/>
      <c r="E37" s="52"/>
      <c r="F37" s="53"/>
      <c r="G37" s="54">
        <f t="shared" si="0"/>
        <v>0</v>
      </c>
    </row>
    <row r="38" spans="1:7" ht="14.25" customHeight="1" x14ac:dyDescent="0.25">
      <c r="A38" s="50"/>
      <c r="B38" s="55"/>
      <c r="C38" s="52"/>
      <c r="D38" s="52"/>
      <c r="E38" s="52"/>
      <c r="F38" s="53"/>
      <c r="G38" s="54">
        <f t="shared" si="0"/>
        <v>0</v>
      </c>
    </row>
    <row r="39" spans="1:7" ht="15.75" x14ac:dyDescent="0.25">
      <c r="A39" s="50"/>
      <c r="B39" s="55"/>
      <c r="C39" s="52"/>
      <c r="D39" s="52"/>
      <c r="E39" s="52"/>
      <c r="F39" s="53"/>
      <c r="G39" s="54">
        <f t="shared" si="0"/>
        <v>0</v>
      </c>
    </row>
    <row r="40" spans="1:7" ht="15.75" x14ac:dyDescent="0.25">
      <c r="A40" s="56"/>
      <c r="B40" s="57"/>
      <c r="C40" s="57"/>
      <c r="D40" s="13"/>
      <c r="E40" s="58"/>
      <c r="F40" s="59" t="s">
        <v>7</v>
      </c>
      <c r="G40" s="60">
        <f>SUM(G32:G39)</f>
        <v>1500</v>
      </c>
    </row>
    <row r="41" spans="1:7" ht="15.75" x14ac:dyDescent="0.25">
      <c r="A41" s="61"/>
      <c r="B41" s="58"/>
      <c r="C41" s="58"/>
      <c r="D41" s="57"/>
      <c r="E41" s="13"/>
      <c r="F41" s="59" t="s">
        <v>44</v>
      </c>
      <c r="G41" s="60">
        <f>G40*0</f>
        <v>0</v>
      </c>
    </row>
    <row r="42" spans="1:7" ht="15.75" x14ac:dyDescent="0.25">
      <c r="A42" s="61"/>
      <c r="B42" s="58"/>
      <c r="C42" s="58"/>
      <c r="D42" s="58"/>
      <c r="E42" s="13"/>
      <c r="F42" s="59" t="s">
        <v>8</v>
      </c>
      <c r="G42" s="62">
        <f>G41+G40</f>
        <v>1500</v>
      </c>
    </row>
    <row r="43" spans="1:7" ht="15.75" x14ac:dyDescent="0.25">
      <c r="A43" s="27"/>
      <c r="B43" s="13"/>
      <c r="C43" s="13"/>
      <c r="D43" s="58"/>
      <c r="E43" s="13"/>
      <c r="F43" s="13"/>
      <c r="G43" s="23"/>
    </row>
    <row r="44" spans="1:7" ht="15.75" x14ac:dyDescent="0.25">
      <c r="A44" s="27"/>
      <c r="B44" s="13"/>
      <c r="C44" s="13"/>
      <c r="D44" s="13"/>
      <c r="E44" s="13"/>
      <c r="F44" s="13"/>
      <c r="G44" s="23"/>
    </row>
    <row r="45" spans="1:7" ht="18.75" x14ac:dyDescent="0.3">
      <c r="A45" s="27"/>
      <c r="B45" s="13"/>
      <c r="C45" s="13"/>
      <c r="D45" s="13"/>
      <c r="E45" s="122"/>
      <c r="F45" s="122"/>
      <c r="G45" s="123"/>
    </row>
    <row r="46" spans="1:7" ht="18.75" x14ac:dyDescent="0.3">
      <c r="A46" s="27"/>
      <c r="B46" s="13"/>
      <c r="C46" s="13"/>
      <c r="D46" s="13"/>
      <c r="E46" s="71"/>
      <c r="F46" s="71"/>
      <c r="G46" s="72"/>
    </row>
    <row r="47" spans="1:7" ht="18.75" x14ac:dyDescent="0.3">
      <c r="A47" s="27"/>
      <c r="B47" s="13"/>
      <c r="C47" s="13"/>
      <c r="D47" s="13"/>
      <c r="E47" s="122"/>
      <c r="F47" s="122"/>
      <c r="G47" s="123"/>
    </row>
    <row r="48" spans="1:7" ht="15.75" x14ac:dyDescent="0.25">
      <c r="A48" s="27"/>
      <c r="B48" s="13"/>
      <c r="C48" s="13"/>
      <c r="D48" s="13"/>
      <c r="E48" s="13"/>
      <c r="F48" s="13"/>
      <c r="G48" s="23"/>
    </row>
    <row r="49" spans="1:7" ht="15.75" x14ac:dyDescent="0.25">
      <c r="A49" s="27"/>
      <c r="B49" s="13"/>
      <c r="C49" s="13"/>
      <c r="D49" s="13"/>
      <c r="E49" s="13"/>
      <c r="F49" s="13"/>
      <c r="G49" s="23"/>
    </row>
    <row r="50" spans="1:7" ht="15.75" x14ac:dyDescent="0.25">
      <c r="A50" s="63"/>
      <c r="B50" s="64"/>
      <c r="C50" s="64"/>
      <c r="D50" s="13"/>
      <c r="E50" s="13"/>
      <c r="F50" s="64"/>
      <c r="G50" s="23"/>
    </row>
    <row r="51" spans="1:7" ht="12.75" x14ac:dyDescent="0.25">
      <c r="A51" s="141" t="s">
        <v>17</v>
      </c>
      <c r="B51" s="142"/>
      <c r="C51" s="79"/>
      <c r="D51" s="79"/>
      <c r="E51" s="79"/>
      <c r="F51" s="79"/>
      <c r="G51" s="80"/>
    </row>
    <row r="52" spans="1:7" x14ac:dyDescent="0.2">
      <c r="A52" s="81" t="s">
        <v>50</v>
      </c>
      <c r="G52" s="82"/>
    </row>
    <row r="53" spans="1:7" x14ac:dyDescent="0.2">
      <c r="A53" s="83" t="s">
        <v>51</v>
      </c>
      <c r="B53" s="84"/>
      <c r="C53" s="84"/>
      <c r="D53" s="84"/>
      <c r="E53" s="84"/>
      <c r="F53" s="84"/>
      <c r="G53" s="85"/>
    </row>
    <row r="54" spans="1:7" x14ac:dyDescent="0.2">
      <c r="A54" s="86" t="s">
        <v>52</v>
      </c>
      <c r="B54" s="84"/>
      <c r="C54" s="84"/>
      <c r="D54" s="84"/>
      <c r="E54" s="84"/>
      <c r="F54" s="84"/>
      <c r="G54" s="85"/>
    </row>
    <row r="55" spans="1:7" x14ac:dyDescent="0.2">
      <c r="A55" s="86" t="s">
        <v>53</v>
      </c>
      <c r="B55" s="84"/>
      <c r="C55" s="84"/>
      <c r="D55" s="84"/>
      <c r="E55" s="84"/>
      <c r="F55" s="84"/>
      <c r="G55" s="85"/>
    </row>
    <row r="56" spans="1:7" x14ac:dyDescent="0.2">
      <c r="A56" s="86"/>
      <c r="B56" s="84"/>
      <c r="C56" s="84"/>
      <c r="D56" s="84"/>
      <c r="E56" s="84"/>
      <c r="F56" s="84"/>
      <c r="G56" s="85"/>
    </row>
    <row r="57" spans="1:7" x14ac:dyDescent="0.2">
      <c r="A57" s="86"/>
      <c r="B57" s="84"/>
      <c r="C57" s="84"/>
      <c r="D57" s="84"/>
      <c r="E57" s="84"/>
      <c r="F57" s="84"/>
      <c r="G57" s="85"/>
    </row>
    <row r="58" spans="1:7" ht="15.75" x14ac:dyDescent="0.25">
      <c r="A58" s="65"/>
      <c r="B58" s="66"/>
      <c r="C58" s="66"/>
      <c r="D58" s="66"/>
      <c r="E58" s="66"/>
      <c r="F58" s="66"/>
      <c r="G58" s="67"/>
    </row>
    <row r="59" spans="1:7" ht="15.75" x14ac:dyDescent="0.25">
      <c r="A59" s="124" t="s">
        <v>38</v>
      </c>
      <c r="B59" s="125"/>
      <c r="C59" s="125"/>
      <c r="D59" s="125"/>
      <c r="E59" s="125"/>
      <c r="F59" s="125"/>
      <c r="G59" s="126"/>
    </row>
    <row r="60" spans="1:7" ht="15.75" x14ac:dyDescent="0.25">
      <c r="A60" s="127" t="s">
        <v>54</v>
      </c>
      <c r="B60" s="128"/>
      <c r="C60" s="128"/>
      <c r="D60" s="128"/>
      <c r="E60" s="128"/>
      <c r="F60" s="128"/>
      <c r="G60" s="129"/>
    </row>
    <row r="61" spans="1:7" ht="15.75" x14ac:dyDescent="0.25">
      <c r="A61" s="130" t="s">
        <v>39</v>
      </c>
      <c r="B61" s="131"/>
      <c r="C61" s="131"/>
      <c r="D61" s="131"/>
      <c r="E61" s="131"/>
      <c r="F61" s="131"/>
      <c r="G61" s="132"/>
    </row>
    <row r="62" spans="1:7" ht="15" x14ac:dyDescent="0.25">
      <c r="A62" s="87" t="s">
        <v>55</v>
      </c>
      <c r="B62" s="88"/>
      <c r="C62" s="88"/>
      <c r="D62" s="88"/>
      <c r="E62" s="88"/>
      <c r="F62" s="88"/>
      <c r="G62" s="89"/>
    </row>
    <row r="63" spans="1:7" ht="15.75" x14ac:dyDescent="0.25">
      <c r="A63" s="74"/>
      <c r="B63" s="75"/>
      <c r="C63" s="75"/>
      <c r="D63" s="75"/>
      <c r="E63" s="75"/>
      <c r="F63" s="75"/>
      <c r="G63" s="76"/>
    </row>
    <row r="64" spans="1:7" x14ac:dyDescent="0.2">
      <c r="A64" s="8"/>
      <c r="B64" s="9"/>
      <c r="C64" s="9"/>
      <c r="D64" s="9"/>
      <c r="E64" s="9"/>
      <c r="F64" s="9"/>
      <c r="G64" s="4"/>
    </row>
  </sheetData>
  <mergeCells count="34">
    <mergeCell ref="C12:D12"/>
    <mergeCell ref="F12:G12"/>
    <mergeCell ref="C13:D13"/>
    <mergeCell ref="F13:G13"/>
    <mergeCell ref="E15:E16"/>
    <mergeCell ref="B15:C16"/>
    <mergeCell ref="E47:G47"/>
    <mergeCell ref="A59:G59"/>
    <mergeCell ref="A60:G60"/>
    <mergeCell ref="A61:G61"/>
    <mergeCell ref="F17:G17"/>
    <mergeCell ref="F18:G18"/>
    <mergeCell ref="F19:G19"/>
    <mergeCell ref="E45:G45"/>
    <mergeCell ref="E29:G29"/>
    <mergeCell ref="A28:C28"/>
    <mergeCell ref="A29:C29"/>
    <mergeCell ref="A51:B51"/>
    <mergeCell ref="A62:G62"/>
    <mergeCell ref="K14:M19"/>
    <mergeCell ref="B22:C22"/>
    <mergeCell ref="A23:B23"/>
    <mergeCell ref="A26:B26"/>
    <mergeCell ref="A25:B25"/>
    <mergeCell ref="F21:G21"/>
    <mergeCell ref="B17:C17"/>
    <mergeCell ref="B18:C18"/>
    <mergeCell ref="B19:C19"/>
    <mergeCell ref="F20:G20"/>
    <mergeCell ref="B20:C20"/>
    <mergeCell ref="B21:C21"/>
    <mergeCell ref="A24:B24"/>
    <mergeCell ref="F15:G16"/>
    <mergeCell ref="A15:A16"/>
  </mergeCells>
  <hyperlinks>
    <hyperlink ref="F21" r:id="rId1" display="bo@emagine.org" xr:uid="{00000000-0004-0000-0000-000000000000}"/>
    <hyperlink ref="F21:G21" r:id="rId2" display="lahmar.ahmed@gmail.com" xr:uid="{00000000-0004-0000-0000-000001000000}"/>
    <hyperlink ref="B21" r:id="rId3" xr:uid="{00000000-0004-0000-0000-000002000000}"/>
  </hyperlinks>
  <printOptions horizontalCentered="1"/>
  <pageMargins left="0" right="0" top="0" bottom="0" header="0" footer="0"/>
  <pageSetup paperSize="9" scale="69" orientation="portrait" r:id="rId4"/>
  <drawing r:id="rId5"/>
  <legacyDrawing r:id="rId6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FACTURE FR</vt:lpstr>
      <vt:lpstr>'FACTURE FR'!Zone_d_impression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Parruitte, Virginie</dc:creator>
  <cp:lastModifiedBy>Ahmed LAHMAR</cp:lastModifiedBy>
  <cp:lastPrinted>2019-08-01T12:37:27Z</cp:lastPrinted>
  <dcterms:created xsi:type="dcterms:W3CDTF">1996-10-14T23:33:28Z</dcterms:created>
  <dcterms:modified xsi:type="dcterms:W3CDTF">2024-10-03T13:38:38Z</dcterms:modified>
</cp:coreProperties>
</file>