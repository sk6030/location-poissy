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S2ad_tech\RH S2ADTECH\"/>
    </mc:Choice>
  </mc:AlternateContent>
  <xr:revisionPtr revIDLastSave="0" documentId="13_ncr:1_{A042038D-3A23-4228-B1E2-1C7E0D08B07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  <sheet name="Sheet3" sheetId="3" r:id="rId3"/>
    <sheet name="Feuil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E14" i="4" l="1"/>
  <c r="D14" i="4"/>
  <c r="E21" i="3"/>
  <c r="D21" i="3"/>
  <c r="F22" i="2"/>
  <c r="D22" i="2"/>
  <c r="E22" i="2"/>
  <c r="F24" i="2" l="1"/>
  <c r="E20" i="1"/>
  <c r="D20" i="1"/>
</calcChain>
</file>

<file path=xl/sharedStrings.xml><?xml version="1.0" encoding="utf-8"?>
<sst xmlns="http://schemas.openxmlformats.org/spreadsheetml/2006/main" count="143" uniqueCount="48">
  <si>
    <t>DATE</t>
  </si>
  <si>
    <t>Mois</t>
  </si>
  <si>
    <t>NB JOURS</t>
  </si>
  <si>
    <t>Montant Facturé HT</t>
  </si>
  <si>
    <t>Cout de revient Salarié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</si>
  <si>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</si>
  <si>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</si>
  <si>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</si>
  <si>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</si>
  <si>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</si>
  <si>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</si>
  <si>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</si>
  <si>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</si>
  <si>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</si>
  <si>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</si>
  <si>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</si>
  <si>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</si>
  <si>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Total</t>
  </si>
  <si>
    <t xml:space="preserve">date debut chez nous </t>
  </si>
  <si>
    <t>date debut chez client</t>
  </si>
  <si>
    <t>S2AD TECH : 2025</t>
  </si>
  <si>
    <t xml:space="preserve">CLIENT : HARINGTON TECHNOLOGIES </t>
  </si>
  <si>
    <t>TJM : 590 EUR</t>
  </si>
  <si>
    <t>---</t>
  </si>
  <si>
    <t>E-mail:      ghourabi.med@gmail.com</t>
  </si>
  <si>
    <t>Labib bettaieb</t>
  </si>
  <si>
    <t xml:space="preserve">CLIENT : HIGHTEAM </t>
  </si>
  <si>
    <t>E-mail:      labib.bettaieb@gmail.com</t>
  </si>
  <si>
    <t>yasmine Bettaieb</t>
  </si>
  <si>
    <t>SMIC</t>
  </si>
  <si>
    <t>Cout de revient Salarié2</t>
  </si>
  <si>
    <t>cout de revient salarié total:</t>
  </si>
  <si>
    <t>NB JOURS2</t>
  </si>
  <si>
    <t>TJM : 480 EUR</t>
  </si>
  <si>
    <t xml:space="preserve">date debut chez nous :01/04/2025 </t>
  </si>
  <si>
    <t>CLIENT :  TRIMANE</t>
  </si>
  <si>
    <t>TJM : 620 EUR</t>
  </si>
  <si>
    <t xml:space="preserve">CONSULTANT </t>
  </si>
  <si>
    <t>CONSULTANT</t>
  </si>
  <si>
    <t xml:space="preserve">Idriss Radwani </t>
  </si>
  <si>
    <t xml:space="preserve">E-mail:    idris.radwani@gmail.com </t>
  </si>
  <si>
    <t xml:space="preserve">date début chez nous </t>
  </si>
  <si>
    <t>date début chez client</t>
  </si>
  <si>
    <t>TJM : 650 EUR</t>
  </si>
  <si>
    <t>Walis Sakkay</t>
  </si>
  <si>
    <t xml:space="preserve">CLIENT :  FRANK RECRUITEMENT GROUP </t>
  </si>
  <si>
    <t>E-mail:   sakaywalid@gmail.com</t>
  </si>
  <si>
    <t>Mohamed Ghourabi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</si>
</sst>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\-yy;@"/>
    <numFmt numFmtId="165" formatCode="0_ ;\-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Font="1" applyBorder="1"/>
    <xf numFmtId="2" fontId="0" fillId="0" borderId="4" xfId="0" applyNumberFormat="1" applyBorder="1"/>
    <xf numFmtId="2" fontId="0" fillId="0" borderId="5" xfId="0" applyNumberFormat="1" applyBorder="1"/>
    <xf numFmtId="0" fontId="0" fillId="0" borderId="5" xfId="0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0" fontId="0" fillId="0" borderId="6" xfId="0" applyBorder="1"/>
    <xf numFmtId="164" fontId="1" fillId="0" borderId="6" xfId="0" applyNumberFormat="1" applyFont="1" applyBorder="1" applyAlignment="1">
      <alignment horizontal="center"/>
    </xf>
    <xf numFmtId="14" fontId="0" fillId="0" borderId="6" xfId="0" applyNumberFormat="1" applyBorder="1"/>
    <xf numFmtId="2" fontId="0" fillId="0" borderId="6" xfId="0" applyNumberFormat="1" applyBorder="1" applyAlignment="1">
      <alignment horizontal="center"/>
    </xf>
    <xf numFmtId="0" fontId="0" fillId="0" borderId="10" xfId="0" applyBorder="1"/>
    <xf numFmtId="164" fontId="1" fillId="0" borderId="11" xfId="0" applyNumberFormat="1" applyFont="1" applyBorder="1" applyAlignment="1">
      <alignment horizontal="left"/>
    </xf>
    <xf numFmtId="0" fontId="0" fillId="0" borderId="12" xfId="0" applyBorder="1"/>
    <xf numFmtId="2" fontId="0" fillId="0" borderId="7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" fontId="0" fillId="0" borderId="1" xfId="0" quotePrefix="1" applyNumberForma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0" fontId="0" fillId="0" borderId="15" xfId="0" applyBorder="1"/>
    <xf numFmtId="1" fontId="0" fillId="0" borderId="1" xfId="0" applyNumberFormat="1" applyBorder="1"/>
    <xf numFmtId="165" fontId="0" fillId="0" borderId="1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2" fontId="0" fillId="0" borderId="17" xfId="0" applyNumberFormat="1" applyBorder="1"/>
    <xf numFmtId="164" fontId="0" fillId="0" borderId="18" xfId="0" applyNumberFormat="1" applyBorder="1"/>
    <xf numFmtId="1" fontId="0" fillId="0" borderId="18" xfId="0" applyNumberFormat="1" applyBorder="1"/>
    <xf numFmtId="2" fontId="0" fillId="0" borderId="18" xfId="0" applyNumberFormat="1" applyBorder="1"/>
    <xf numFmtId="2" fontId="0" fillId="0" borderId="3" xfId="0" quotePrefix="1" applyNumberFormat="1" applyBorder="1" applyAlignment="1">
      <alignment horizontal="center"/>
    </xf>
    <xf numFmtId="2" fontId="0" fillId="0" borderId="19" xfId="0" quotePrefix="1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0" xfId="0" quotePrefix="1" applyNumberFormat="1" applyBorder="1" applyAlignment="1">
      <alignment horizontal="center"/>
    </xf>
    <xf numFmtId="2" fontId="0" fillId="0" borderId="4" xfId="0" quotePrefix="1" applyNumberFormat="1" applyBorder="1" applyAlignment="1">
      <alignment horizontal="center"/>
    </xf>
    <xf numFmtId="2" fontId="0" fillId="0" borderId="21" xfId="0" quotePrefix="1" applyNumberFormat="1" applyBorder="1" applyAlignment="1">
      <alignment horizontal="center"/>
    </xf>
    <xf numFmtId="0" fontId="1" fillId="0" borderId="22" xfId="0" applyFont="1" applyBorder="1"/>
    <xf numFmtId="0" fontId="0" fillId="0" borderId="0" xfId="0" applyBorder="1"/>
    <xf numFmtId="0" fontId="1" fillId="0" borderId="13" xfId="0" applyFont="1" applyBorder="1"/>
    <xf numFmtId="164" fontId="1" fillId="0" borderId="9" xfId="0" applyNumberFormat="1" applyFont="1" applyBorder="1"/>
    <xf numFmtId="164" fontId="1" fillId="0" borderId="14" xfId="0" applyNumberFormat="1" applyFont="1" applyBorder="1"/>
    <xf numFmtId="14" fontId="0" fillId="0" borderId="14" xfId="0" applyNumberFormat="1" applyBorder="1"/>
    <xf numFmtId="164" fontId="1" fillId="0" borderId="8" xfId="0" applyNumberFormat="1" applyFont="1" applyBorder="1"/>
    <xf numFmtId="0" fontId="1" fillId="0" borderId="6" xfId="0" applyFon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2" fontId="0" fillId="0" borderId="23" xfId="0" quotePrefix="1" applyNumberFormat="1" applyBorder="1" applyAlignment="1">
      <alignment horizontal="center"/>
    </xf>
  </cellXfs>
  <cellStyles count="1">
    <cellStyle name="Normal" xfId="0" builtinId="0"/>
  </cellStyles>
  <dxfs count="22">
    <dxf>
      <numFmt numFmtId="2" formatCode="0.0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C]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C]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C]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C]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C]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C]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C]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C]mmm\-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5" displayName="Tableau15" ref="A7:E19" totalsRowShown="0">
  <autoFilter ref="A7:E19" xr:uid="{00000000-0009-0000-0100-000001000000}"/>
  <tableColumns count="5">
    <tableColumn id="1" xr3:uid="{00000000-0010-0000-0000-000001000000}" name="DATE" dataDxfId="5"/>
    <tableColumn id="7" xr3:uid="{00000000-0010-0000-0000-000007000000}" name="Mois" dataDxfId="4"/>
    <tableColumn id="3" xr3:uid="{00000000-0010-0000-0000-000003000000}" name="NB JOURS" dataDxfId="3"/>
    <tableColumn id="2" xr3:uid="{00000000-0010-0000-0000-000002000000}" name="Montant Facturé HT" dataDxfId="2"/>
    <tableColumn id="5" xr3:uid="{00000000-0010-0000-0000-000005000000}" name="Cout de revient Salarié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F12905-DB21-4E0C-9B6F-AEB5DE6FB13C}" name="Tableau155" displayName="Tableau155" ref="A8:G21" totalsRowShown="0">
  <autoFilter ref="A8:G21" xr:uid="{A5F12905-DB21-4E0C-9B6F-AEB5DE6FB13C}"/>
  <tableColumns count="7">
    <tableColumn id="1" xr3:uid="{600905F9-1385-47DF-88B2-1EFA016C3970}" name="DATE" dataDxfId="21"/>
    <tableColumn id="7" xr3:uid="{AE37C3C1-62A4-4ACA-988D-C2FEE2D268FC}" name="Mois" dataDxfId="10"/>
    <tableColumn id="3" xr3:uid="{61A71CA1-E1CD-44A1-99DA-7CB24DE9B07B}" name="NB JOURS" dataDxfId="9"/>
    <tableColumn id="2" xr3:uid="{D6DCCDA4-B718-4FEB-B247-968C4C5E94FD}" name="Montant Facturé HT" dataDxfId="8"/>
    <tableColumn id="5" xr3:uid="{ED3FA63D-FC99-49C9-A1B4-54C085F6007B}" name="Cout de revient Salarié" dataDxfId="0"/>
    <tableColumn id="4" xr3:uid="{9ABE5993-AE8A-4D3D-8716-3C1AED7B5A74}" name="Cout de revient Salarié2" dataDxfId="7"/>
    <tableColumn id="6" xr3:uid="{3000D1AE-03F2-4506-98AC-3FC10ECC0FBF}" name="NB JOURS2" dataDxfId="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6CBE7C-0DA1-4561-BAD2-649CD9FAFE68}" name="Tableau157" displayName="Tableau157" ref="A8:E20" totalsRowShown="0">
  <autoFilter ref="A8:E20" xr:uid="{6A6CBE7C-0DA1-4561-BAD2-649CD9FAFE68}"/>
  <tableColumns count="5">
    <tableColumn id="1" xr3:uid="{7B35E8DB-6000-4032-B001-95A2717DF7D6}" name="DATE" dataDxfId="15"/>
    <tableColumn id="7" xr3:uid="{C35A1C71-B608-48AE-824D-E1F4594704AE}" name="Mois" dataDxfId="14"/>
    <tableColumn id="3" xr3:uid="{A95C748C-7B9C-4F33-8A0B-EF07A84BDE6A}" name="NB JOURS" dataDxfId="13"/>
    <tableColumn id="2" xr3:uid="{EA4A5579-3224-4234-894F-3A99F66263A0}" name="Montant Facturé HT" dataDxfId="12"/>
    <tableColumn id="5" xr3:uid="{9EF35877-E922-4CDF-ADBD-715B1F208EF3}" name="Cout de revient Salarié" dataDxfId="1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9386BB-91AE-4BEF-B250-FCF6C657A368}" name="Tableau1579" displayName="Tableau1579" ref="A8:E13" totalsRowShown="0">
  <autoFilter ref="A8:E13" xr:uid="{B19386BB-91AE-4BEF-B250-FCF6C657A368}"/>
  <tableColumns count="5">
    <tableColumn id="1" xr3:uid="{8F412DA7-3B9E-4E1B-B870-D796F05428BD}" name="DATE" dataDxfId="20"/>
    <tableColumn id="7" xr3:uid="{573224E6-B4F4-4082-9FD6-BDCA3B9147B6}" name="Mois" dataDxfId="19"/>
    <tableColumn id="3" xr3:uid="{E0B19306-9036-4A32-AC8B-3A72E5A5EA3B}" name="NB JOURS" dataDxfId="18"/>
    <tableColumn id="2" xr3:uid="{C13D1DA8-502E-414D-BB53-71ECB9347270}" name="Montant Facturé HT" dataDxfId="17"/>
    <tableColumn id="5" xr3:uid="{44BA3A89-29A8-4A98-BB42-C5792EE4A278}" name="Cout de revient Salarié" dataDxfId="1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85" zoomScaleNormal="85" workbookViewId="0">
      <selection activeCell="C2" sqref="C2"/>
    </sheetView>
  </sheetViews>
  <sheetFormatPr baseColWidth="10" defaultColWidth="9.1796875" defaultRowHeight="14.5" x14ac:dyDescent="0.35"/>
  <cols>
    <col min="1" max="1" width="17" customWidth="1"/>
    <col min="2" max="2" width="20.453125" customWidth="1"/>
    <col min="3" max="3" width="18.81640625" customWidth="1"/>
    <col min="4" max="4" width="23.81640625" customWidth="1"/>
    <col min="5" max="5" width="24.7265625" customWidth="1"/>
  </cols>
  <sheetData>
    <row r="1" spans="1:5" ht="15" thickBot="1" x14ac:dyDescent="0.4"/>
    <row r="2" spans="1:5" ht="15.5" thickTop="1" thickBot="1" x14ac:dyDescent="0.4">
      <c r="A2" s="13" t="s">
        <v>20</v>
      </c>
      <c r="B2" s="13" t="s">
        <v>37</v>
      </c>
      <c r="C2" s="13" t="s">
        <v>47</v>
      </c>
      <c r="D2" s="22" t="s">
        <v>24</v>
      </c>
      <c r="E2" s="23"/>
    </row>
    <row r="3" spans="1:5" ht="15.5" thickTop="1" thickBot="1" x14ac:dyDescent="0.4">
      <c r="A3" s="14" t="s">
        <v>22</v>
      </c>
      <c r="B3" s="16" t="s">
        <v>21</v>
      </c>
      <c r="C3" s="16"/>
      <c r="D3" s="3"/>
      <c r="E3" s="3"/>
    </row>
    <row r="4" spans="1:5" ht="15.5" thickTop="1" thickBot="1" x14ac:dyDescent="0.4">
      <c r="A4" s="1"/>
      <c r="B4" s="13" t="s">
        <v>18</v>
      </c>
      <c r="C4" s="17">
        <v>45672</v>
      </c>
      <c r="D4" s="3"/>
      <c r="E4" s="3"/>
    </row>
    <row r="5" spans="1:5" ht="15.5" thickTop="1" thickBot="1" x14ac:dyDescent="0.4">
      <c r="A5" s="2"/>
      <c r="B5" s="13" t="s">
        <v>19</v>
      </c>
      <c r="C5" s="17">
        <v>45672</v>
      </c>
      <c r="D5" s="3"/>
      <c r="E5" s="3"/>
    </row>
    <row r="6" spans="1:5" ht="15" thickTop="1" x14ac:dyDescent="0.35">
      <c r="A6" s="2"/>
      <c r="B6" s="2"/>
      <c r="D6" s="3"/>
      <c r="E6" s="3"/>
    </row>
    <row r="7" spans="1:5" x14ac:dyDescent="0.35">
      <c r="A7" s="2" t="s">
        <v>0</v>
      </c>
      <c r="B7" s="2" t="s">
        <v>1</v>
      </c>
      <c r="C7" s="3" t="s">
        <v>2</v>
      </c>
      <c r="D7" s="3" t="s">
        <v>3</v>
      </c>
      <c r="E7" s="3" t="s">
        <v>4</v>
      </c>
    </row>
    <row r="8" spans="1:5" x14ac:dyDescent="0.35">
      <c r="A8" s="5">
        <v>45658</v>
      </c>
      <c r="B8" s="5" t="s">
        <v>5</v>
      </c>
      <c r="C8" s="28">
        <v>13</v>
      </c>
      <c r="D8" s="7">
        <v>7670</v>
      </c>
      <c r="E8" s="7">
        <v>3640.88</v>
      </c>
    </row>
    <row r="9" spans="1:5" x14ac:dyDescent="0.35">
      <c r="A9" s="5">
        <v>45689</v>
      </c>
      <c r="B9" s="5" t="s">
        <v>6</v>
      </c>
      <c r="C9" s="28">
        <v>20</v>
      </c>
      <c r="D9" s="7">
        <v>11800</v>
      </c>
      <c r="E9" s="7">
        <v>6443.39</v>
      </c>
    </row>
    <row r="10" spans="1:5" x14ac:dyDescent="0.35">
      <c r="A10" s="5">
        <v>45717</v>
      </c>
      <c r="B10" s="5" t="s">
        <v>7</v>
      </c>
      <c r="C10" s="28">
        <v>21</v>
      </c>
      <c r="D10" s="7">
        <v>12390</v>
      </c>
      <c r="E10" s="7">
        <v>6443.39</v>
      </c>
    </row>
    <row r="11" spans="1:5" x14ac:dyDescent="0.35">
      <c r="A11" s="5">
        <v>45748</v>
      </c>
      <c r="B11" s="5" t="s">
        <v>8</v>
      </c>
      <c r="C11" s="28">
        <v>21</v>
      </c>
      <c r="D11" s="7">
        <v>12390</v>
      </c>
      <c r="E11" s="26" t="s">
        <v>23</v>
      </c>
    </row>
    <row r="12" spans="1:5" x14ac:dyDescent="0.35">
      <c r="A12" s="5">
        <v>45778</v>
      </c>
      <c r="B12" s="5" t="s">
        <v>9</v>
      </c>
      <c r="C12" s="28"/>
      <c r="D12" s="7"/>
      <c r="E12" s="26" t="s">
        <v>23</v>
      </c>
    </row>
    <row r="13" spans="1:5" x14ac:dyDescent="0.35">
      <c r="A13" s="5">
        <v>45809</v>
      </c>
      <c r="B13" s="5" t="s">
        <v>10</v>
      </c>
      <c r="C13" s="28"/>
      <c r="D13" s="7"/>
      <c r="E13" s="26" t="s">
        <v>23</v>
      </c>
    </row>
    <row r="14" spans="1:5" x14ac:dyDescent="0.35">
      <c r="A14" s="5">
        <v>45839</v>
      </c>
      <c r="B14" s="5" t="s">
        <v>11</v>
      </c>
      <c r="C14" s="6"/>
      <c r="D14" s="7"/>
      <c r="E14" s="26" t="s">
        <v>23</v>
      </c>
    </row>
    <row r="15" spans="1:5" x14ac:dyDescent="0.35">
      <c r="A15" s="5">
        <v>45870</v>
      </c>
      <c r="B15" s="5" t="s">
        <v>12</v>
      </c>
      <c r="C15" s="29"/>
      <c r="D15" s="7"/>
      <c r="E15" s="26" t="s">
        <v>23</v>
      </c>
    </row>
    <row r="16" spans="1:5" x14ac:dyDescent="0.35">
      <c r="A16" s="5">
        <v>45901</v>
      </c>
      <c r="B16" s="5" t="s">
        <v>13</v>
      </c>
      <c r="C16" s="28"/>
      <c r="D16" s="7"/>
      <c r="E16" s="26" t="s">
        <v>23</v>
      </c>
    </row>
    <row r="17" spans="1:5" x14ac:dyDescent="0.35">
      <c r="A17" s="5">
        <v>45931</v>
      </c>
      <c r="B17" s="5" t="s">
        <v>14</v>
      </c>
      <c r="C17" s="6"/>
      <c r="D17" s="7"/>
      <c r="E17" s="26" t="s">
        <v>23</v>
      </c>
    </row>
    <row r="18" spans="1:5" x14ac:dyDescent="0.35">
      <c r="A18" s="5">
        <v>45962</v>
      </c>
      <c r="B18" s="5" t="s">
        <v>15</v>
      </c>
      <c r="C18" s="6"/>
      <c r="D18" s="7"/>
      <c r="E18" s="26" t="s">
        <v>23</v>
      </c>
    </row>
    <row r="19" spans="1:5" x14ac:dyDescent="0.35">
      <c r="A19" s="5">
        <v>45992</v>
      </c>
      <c r="B19" s="5" t="s">
        <v>16</v>
      </c>
      <c r="C19" s="6"/>
      <c r="D19" s="7"/>
      <c r="E19" s="26" t="s">
        <v>23</v>
      </c>
    </row>
    <row r="20" spans="1:5" x14ac:dyDescent="0.35">
      <c r="A20" s="5" t="s">
        <v>17</v>
      </c>
      <c r="B20" s="5"/>
      <c r="C20" s="6"/>
      <c r="D20" s="7">
        <f>SUM(Tableau15[Montant Facturé HT])</f>
        <v>44250</v>
      </c>
      <c r="E20" s="7">
        <f>SUM(Tableau15[Cout de revient Salarié])</f>
        <v>16527.66</v>
      </c>
    </row>
  </sheetData>
  <mergeCells count="2">
    <mergeCell ref="B3:C3"/>
    <mergeCell ref="D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zoomScale="81" zoomScaleNormal="81" workbookViewId="0">
      <selection activeCell="F9" sqref="F9"/>
    </sheetView>
  </sheetViews>
  <sheetFormatPr baseColWidth="10" defaultColWidth="9.1796875" defaultRowHeight="14.5" x14ac:dyDescent="0.35"/>
  <cols>
    <col min="1" max="1" width="17.08984375" customWidth="1"/>
    <col min="2" max="2" width="20.54296875" customWidth="1"/>
    <col min="3" max="3" width="16.54296875" customWidth="1"/>
    <col min="4" max="5" width="21.81640625" customWidth="1"/>
    <col min="6" max="6" width="23" customWidth="1"/>
    <col min="7" max="7" width="16.36328125" customWidth="1"/>
    <col min="8" max="8" width="10.453125" bestFit="1" customWidth="1"/>
  </cols>
  <sheetData>
    <row r="1" spans="1:9" x14ac:dyDescent="0.35">
      <c r="E1" s="12"/>
    </row>
    <row r="2" spans="1:9" ht="15" thickBot="1" x14ac:dyDescent="0.4">
      <c r="E2" s="12"/>
      <c r="F2" s="21"/>
    </row>
    <row r="3" spans="1:9" ht="15.5" thickTop="1" thickBot="1" x14ac:dyDescent="0.4">
      <c r="A3" s="48" t="s">
        <v>20</v>
      </c>
      <c r="B3" s="45" t="s">
        <v>38</v>
      </c>
      <c r="C3" s="45" t="s">
        <v>25</v>
      </c>
      <c r="D3" s="18" t="s">
        <v>27</v>
      </c>
      <c r="E3" s="18"/>
      <c r="F3" s="44" t="s">
        <v>28</v>
      </c>
      <c r="G3" s="4"/>
      <c r="H3" s="4"/>
      <c r="I3" s="4"/>
    </row>
    <row r="4" spans="1:9" ht="15.5" thickTop="1" thickBot="1" x14ac:dyDescent="0.4">
      <c r="A4" s="13" t="s">
        <v>33</v>
      </c>
      <c r="B4" s="16" t="s">
        <v>26</v>
      </c>
      <c r="C4" s="16"/>
      <c r="D4" s="3"/>
      <c r="E4" s="11"/>
      <c r="F4" s="42" t="s">
        <v>29</v>
      </c>
      <c r="H4" s="21"/>
    </row>
    <row r="5" spans="1:9" ht="15.5" thickTop="1" thickBot="1" x14ac:dyDescent="0.4">
      <c r="A5" s="1"/>
      <c r="B5" s="46" t="s">
        <v>18</v>
      </c>
      <c r="C5" s="47">
        <v>45659</v>
      </c>
      <c r="D5" s="3"/>
      <c r="E5" s="11"/>
      <c r="F5" s="20" t="s">
        <v>34</v>
      </c>
      <c r="G5" s="20"/>
      <c r="H5" s="17"/>
      <c r="I5" s="19"/>
    </row>
    <row r="6" spans="1:9" ht="15.5" thickTop="1" thickBot="1" x14ac:dyDescent="0.4">
      <c r="A6" s="2"/>
      <c r="B6" s="13" t="s">
        <v>19</v>
      </c>
      <c r="C6" s="17">
        <v>45635</v>
      </c>
      <c r="D6" s="3"/>
      <c r="E6" s="11"/>
      <c r="F6" s="43"/>
    </row>
    <row r="7" spans="1:9" ht="15" thickTop="1" x14ac:dyDescent="0.35">
      <c r="A7" s="2"/>
      <c r="B7" s="2"/>
      <c r="D7" s="3"/>
      <c r="E7" s="11"/>
    </row>
    <row r="8" spans="1:9" ht="15" thickBot="1" x14ac:dyDescent="0.4">
      <c r="A8" s="2" t="s">
        <v>0</v>
      </c>
      <c r="B8" s="2" t="s">
        <v>1</v>
      </c>
      <c r="C8" s="3" t="s">
        <v>2</v>
      </c>
      <c r="D8" s="3" t="s">
        <v>3</v>
      </c>
      <c r="E8" s="8" t="s">
        <v>4</v>
      </c>
      <c r="F8" s="3" t="s">
        <v>30</v>
      </c>
      <c r="G8" s="3" t="s">
        <v>32</v>
      </c>
    </row>
    <row r="9" spans="1:9" ht="15" thickTop="1" x14ac:dyDescent="0.35">
      <c r="A9" s="2">
        <v>45627</v>
      </c>
      <c r="B9" s="31" t="s">
        <v>16</v>
      </c>
      <c r="C9" s="32">
        <v>13.5</v>
      </c>
      <c r="D9" s="32">
        <v>6480</v>
      </c>
      <c r="E9" s="39" t="s">
        <v>23</v>
      </c>
      <c r="F9" s="51" t="s">
        <v>23</v>
      </c>
      <c r="G9" s="26" t="s">
        <v>23</v>
      </c>
    </row>
    <row r="10" spans="1:9" x14ac:dyDescent="0.35">
      <c r="A10" s="5">
        <v>45658</v>
      </c>
      <c r="B10" s="5" t="s">
        <v>5</v>
      </c>
      <c r="C10" s="7">
        <v>21.5</v>
      </c>
      <c r="D10" s="7">
        <v>10320</v>
      </c>
      <c r="E10" s="10">
        <v>6383.39</v>
      </c>
      <c r="F10" s="36" t="s">
        <v>23</v>
      </c>
      <c r="G10" s="26" t="s">
        <v>23</v>
      </c>
    </row>
    <row r="11" spans="1:9" x14ac:dyDescent="0.35">
      <c r="A11" s="5">
        <v>45689</v>
      </c>
      <c r="B11" s="5" t="s">
        <v>6</v>
      </c>
      <c r="C11" s="28">
        <v>20</v>
      </c>
      <c r="D11" s="7">
        <v>9600</v>
      </c>
      <c r="E11" s="10">
        <v>6385.41</v>
      </c>
      <c r="F11" s="36" t="s">
        <v>23</v>
      </c>
      <c r="G11" s="26" t="s">
        <v>23</v>
      </c>
    </row>
    <row r="12" spans="1:9" x14ac:dyDescent="0.35">
      <c r="A12" s="5">
        <v>45717</v>
      </c>
      <c r="B12" s="5" t="s">
        <v>7</v>
      </c>
      <c r="C12" s="28">
        <v>15</v>
      </c>
      <c r="D12" s="7">
        <v>7200</v>
      </c>
      <c r="E12" s="10">
        <v>6385.41</v>
      </c>
      <c r="F12" s="36" t="s">
        <v>23</v>
      </c>
      <c r="G12" s="26" t="s">
        <v>23</v>
      </c>
    </row>
    <row r="13" spans="1:9" x14ac:dyDescent="0.35">
      <c r="A13" s="5">
        <v>45748</v>
      </c>
      <c r="B13" s="5" t="s">
        <v>8</v>
      </c>
      <c r="C13" s="28">
        <v>17</v>
      </c>
      <c r="D13" s="7">
        <v>8160</v>
      </c>
      <c r="E13" s="10">
        <v>6385.41</v>
      </c>
      <c r="F13" s="36">
        <v>1827.53</v>
      </c>
      <c r="G13" s="6">
        <v>21</v>
      </c>
    </row>
    <row r="14" spans="1:9" x14ac:dyDescent="0.35">
      <c r="A14" s="5">
        <v>45778</v>
      </c>
      <c r="B14" s="5" t="s">
        <v>9</v>
      </c>
      <c r="C14" s="28"/>
      <c r="D14" s="7"/>
      <c r="E14" s="40"/>
      <c r="F14" s="36"/>
      <c r="G14" s="6"/>
    </row>
    <row r="15" spans="1:9" x14ac:dyDescent="0.35">
      <c r="A15" s="5">
        <v>45809</v>
      </c>
      <c r="B15" s="5" t="s">
        <v>10</v>
      </c>
      <c r="C15" s="28"/>
      <c r="D15" s="7"/>
      <c r="E15" s="40"/>
      <c r="F15" s="36"/>
      <c r="G15" s="6"/>
    </row>
    <row r="16" spans="1:9" x14ac:dyDescent="0.35">
      <c r="A16" s="5">
        <v>45839</v>
      </c>
      <c r="B16" s="5" t="s">
        <v>11</v>
      </c>
      <c r="C16" s="6"/>
      <c r="D16" s="7"/>
      <c r="E16" s="40"/>
      <c r="F16" s="36"/>
      <c r="G16" s="6"/>
    </row>
    <row r="17" spans="1:7" x14ac:dyDescent="0.35">
      <c r="A17" s="5">
        <v>45870</v>
      </c>
      <c r="B17" s="5" t="s">
        <v>12</v>
      </c>
      <c r="C17" s="29"/>
      <c r="D17" s="7"/>
      <c r="E17" s="40"/>
      <c r="F17" s="36"/>
      <c r="G17" s="6"/>
    </row>
    <row r="18" spans="1:7" x14ac:dyDescent="0.35">
      <c r="A18" s="2">
        <v>45901</v>
      </c>
      <c r="B18" s="33" t="s">
        <v>13</v>
      </c>
      <c r="C18" s="34"/>
      <c r="D18" s="35"/>
      <c r="E18" s="41"/>
      <c r="F18" s="37"/>
      <c r="G18" s="6"/>
    </row>
    <row r="19" spans="1:7" x14ac:dyDescent="0.35">
      <c r="A19" s="2">
        <v>45931</v>
      </c>
      <c r="B19" s="5" t="s">
        <v>14</v>
      </c>
      <c r="C19" s="6"/>
      <c r="D19" s="7"/>
      <c r="E19" s="40"/>
      <c r="F19" s="36"/>
      <c r="G19" s="6"/>
    </row>
    <row r="20" spans="1:7" x14ac:dyDescent="0.35">
      <c r="A20" s="2">
        <v>45962</v>
      </c>
      <c r="B20" s="5" t="s">
        <v>15</v>
      </c>
      <c r="C20" s="6"/>
      <c r="D20" s="7"/>
      <c r="E20" s="40"/>
      <c r="F20" s="36"/>
      <c r="G20" s="6"/>
    </row>
    <row r="21" spans="1:7" x14ac:dyDescent="0.35">
      <c r="A21" s="2">
        <v>45992</v>
      </c>
      <c r="B21" s="5" t="s">
        <v>16</v>
      </c>
      <c r="C21" s="6"/>
      <c r="D21" s="7"/>
      <c r="E21" s="40"/>
      <c r="F21" s="38"/>
      <c r="G21" s="6"/>
    </row>
    <row r="22" spans="1:7" x14ac:dyDescent="0.35">
      <c r="A22" s="30" t="s">
        <v>17</v>
      </c>
      <c r="B22" s="5"/>
      <c r="C22" s="6"/>
      <c r="D22" s="7">
        <f>SUM(Tableau155[Montant Facturé HT])</f>
        <v>41760</v>
      </c>
      <c r="E22" s="10">
        <f>SUM(Tableau155[Cout de revient Salarié])</f>
        <v>25539.62</v>
      </c>
      <c r="F22" s="9">
        <f>SUM(Tableau155[Cout de revient Salarié2])</f>
        <v>1827.53</v>
      </c>
      <c r="G22" s="6"/>
    </row>
    <row r="23" spans="1:7" ht="15" thickBot="1" x14ac:dyDescent="0.4"/>
    <row r="24" spans="1:7" ht="30" thickTop="1" thickBot="1" x14ac:dyDescent="0.4">
      <c r="E24" s="49" t="s">
        <v>31</v>
      </c>
      <c r="F24" s="50">
        <f>SUM(E22:F22)</f>
        <v>27367.149999999998</v>
      </c>
    </row>
    <row r="25" spans="1:7" ht="15" thickTop="1" x14ac:dyDescent="0.35"/>
  </sheetData>
  <mergeCells count="4">
    <mergeCell ref="G3:I3"/>
    <mergeCell ref="D3:E3"/>
    <mergeCell ref="B4:C4"/>
    <mergeCell ref="F5:G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1"/>
  <sheetViews>
    <sheetView zoomScale="64" zoomScaleNormal="64" workbookViewId="0">
      <selection activeCell="B18" sqref="B18"/>
    </sheetView>
  </sheetViews>
  <sheetFormatPr baseColWidth="10" defaultColWidth="9.1796875" defaultRowHeight="14.5" x14ac:dyDescent="0.35"/>
  <cols>
    <col min="1" max="1" width="16.36328125" customWidth="1"/>
    <col min="2" max="2" width="20.1796875" customWidth="1"/>
    <col min="3" max="3" width="14.7265625" customWidth="1"/>
    <col min="4" max="4" width="19.81640625" customWidth="1"/>
    <col min="5" max="5" width="22.90625" customWidth="1"/>
  </cols>
  <sheetData>
    <row r="2" spans="1:5" ht="15" thickBot="1" x14ac:dyDescent="0.4"/>
    <row r="3" spans="1:5" ht="15.5" thickTop="1" thickBot="1" x14ac:dyDescent="0.4">
      <c r="A3" s="13" t="s">
        <v>20</v>
      </c>
      <c r="B3" s="13" t="s">
        <v>38</v>
      </c>
      <c r="C3" s="15" t="s">
        <v>39</v>
      </c>
      <c r="D3" s="18" t="s">
        <v>40</v>
      </c>
      <c r="E3" s="18"/>
    </row>
    <row r="4" spans="1:5" ht="15.5" thickTop="1" thickBot="1" x14ac:dyDescent="0.4">
      <c r="A4" s="13" t="s">
        <v>36</v>
      </c>
      <c r="B4" s="16" t="s">
        <v>35</v>
      </c>
      <c r="C4" s="24"/>
      <c r="D4" s="3"/>
      <c r="E4" s="3"/>
    </row>
    <row r="5" spans="1:5" ht="15.5" thickTop="1" thickBot="1" x14ac:dyDescent="0.4">
      <c r="A5" s="1"/>
      <c r="B5" s="13" t="s">
        <v>41</v>
      </c>
      <c r="C5" s="17"/>
      <c r="D5" s="3"/>
      <c r="E5" s="3"/>
    </row>
    <row r="6" spans="1:5" ht="15.5" thickTop="1" thickBot="1" x14ac:dyDescent="0.4">
      <c r="A6" s="2"/>
      <c r="B6" s="13" t="s">
        <v>42</v>
      </c>
      <c r="C6" s="17">
        <v>45786</v>
      </c>
      <c r="D6" s="3"/>
      <c r="E6" s="3"/>
    </row>
    <row r="7" spans="1:5" ht="15" thickTop="1" x14ac:dyDescent="0.35">
      <c r="A7" s="2"/>
      <c r="B7" s="2"/>
      <c r="D7" s="3"/>
      <c r="E7" s="3"/>
    </row>
    <row r="8" spans="1:5" x14ac:dyDescent="0.35">
      <c r="A8" s="2" t="s">
        <v>0</v>
      </c>
      <c r="B8" s="2" t="s">
        <v>1</v>
      </c>
      <c r="C8" s="3" t="s">
        <v>2</v>
      </c>
      <c r="D8" s="3" t="s">
        <v>3</v>
      </c>
      <c r="E8" s="3" t="s">
        <v>4</v>
      </c>
    </row>
    <row r="9" spans="1:5" x14ac:dyDescent="0.35">
      <c r="A9" s="5">
        <v>45658</v>
      </c>
      <c r="B9" s="5" t="s">
        <v>5</v>
      </c>
      <c r="C9" s="26" t="s">
        <v>23</v>
      </c>
      <c r="D9" s="26" t="s">
        <v>23</v>
      </c>
      <c r="E9" s="26" t="s">
        <v>23</v>
      </c>
    </row>
    <row r="10" spans="1:5" x14ac:dyDescent="0.35">
      <c r="A10" s="5">
        <v>45689</v>
      </c>
      <c r="B10" s="5" t="s">
        <v>6</v>
      </c>
      <c r="C10" s="26" t="s">
        <v>23</v>
      </c>
      <c r="D10" s="26" t="s">
        <v>23</v>
      </c>
      <c r="E10" s="26" t="s">
        <v>23</v>
      </c>
    </row>
    <row r="11" spans="1:5" x14ac:dyDescent="0.35">
      <c r="A11" s="5">
        <v>45717</v>
      </c>
      <c r="B11" s="5" t="s">
        <v>7</v>
      </c>
      <c r="C11" s="26" t="s">
        <v>23</v>
      </c>
      <c r="D11" s="26" t="s">
        <v>23</v>
      </c>
      <c r="E11" s="26" t="s">
        <v>23</v>
      </c>
    </row>
    <row r="12" spans="1:5" x14ac:dyDescent="0.35">
      <c r="A12" s="5">
        <v>45748</v>
      </c>
      <c r="B12" s="5" t="s">
        <v>8</v>
      </c>
      <c r="C12" s="26" t="s">
        <v>23</v>
      </c>
      <c r="D12" s="26" t="s">
        <v>23</v>
      </c>
      <c r="E12" s="26" t="s">
        <v>23</v>
      </c>
    </row>
    <row r="13" spans="1:5" x14ac:dyDescent="0.35">
      <c r="A13" s="5">
        <v>45778</v>
      </c>
      <c r="B13" s="5" t="s">
        <v>9</v>
      </c>
      <c r="C13" s="28"/>
      <c r="D13" s="7"/>
      <c r="E13" s="26"/>
    </row>
    <row r="14" spans="1:5" x14ac:dyDescent="0.35">
      <c r="A14" s="5">
        <v>45809</v>
      </c>
      <c r="B14" s="5" t="s">
        <v>10</v>
      </c>
      <c r="C14" s="28"/>
      <c r="D14" s="7"/>
      <c r="E14" s="26"/>
    </row>
    <row r="15" spans="1:5" x14ac:dyDescent="0.35">
      <c r="A15" s="5">
        <v>45839</v>
      </c>
      <c r="B15" s="5" t="s">
        <v>11</v>
      </c>
      <c r="C15" s="6"/>
      <c r="D15" s="7"/>
      <c r="E15" s="26"/>
    </row>
    <row r="16" spans="1:5" x14ac:dyDescent="0.35">
      <c r="A16" s="5">
        <v>45870</v>
      </c>
      <c r="B16" s="5" t="s">
        <v>12</v>
      </c>
      <c r="C16" s="29"/>
      <c r="D16" s="7"/>
      <c r="E16" s="26"/>
    </row>
    <row r="17" spans="1:5" x14ac:dyDescent="0.35">
      <c r="A17" s="5">
        <v>45901</v>
      </c>
      <c r="B17" s="5" t="s">
        <v>13</v>
      </c>
      <c r="C17" s="28"/>
      <c r="D17" s="7"/>
      <c r="E17" s="26"/>
    </row>
    <row r="18" spans="1:5" x14ac:dyDescent="0.35">
      <c r="A18" s="5">
        <v>45931</v>
      </c>
      <c r="B18" s="5" t="s">
        <v>14</v>
      </c>
      <c r="C18" s="6"/>
      <c r="D18" s="7"/>
      <c r="E18" s="26"/>
    </row>
    <row r="19" spans="1:5" x14ac:dyDescent="0.35">
      <c r="A19" s="5">
        <v>45962</v>
      </c>
      <c r="B19" s="5" t="s">
        <v>15</v>
      </c>
      <c r="C19" s="6"/>
      <c r="D19" s="7"/>
      <c r="E19" s="26"/>
    </row>
    <row r="20" spans="1:5" x14ac:dyDescent="0.35">
      <c r="A20" s="5">
        <v>45992</v>
      </c>
      <c r="B20" s="5" t="s">
        <v>16</v>
      </c>
      <c r="C20" s="6"/>
      <c r="D20" s="7"/>
      <c r="E20" s="26"/>
    </row>
    <row r="21" spans="1:5" x14ac:dyDescent="0.35">
      <c r="A21" s="5" t="s">
        <v>17</v>
      </c>
      <c r="B21" s="5"/>
      <c r="C21" s="6"/>
      <c r="D21" s="7">
        <f>SUM(Tableau157[Montant Facturé HT])</f>
        <v>0</v>
      </c>
      <c r="E21" s="7">
        <f>SUM(Tableau157[Cout de revient Salarié])</f>
        <v>0</v>
      </c>
    </row>
  </sheetData>
  <mergeCells count="2">
    <mergeCell ref="D3:E3"/>
    <mergeCell ref="B4:C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0A07-AA5E-42F0-B11D-04FEF92D179B}">
  <dimension ref="A2:E20"/>
  <sheetViews>
    <sheetView workbookViewId="0">
      <selection activeCell="E9" sqref="E9:E13"/>
    </sheetView>
  </sheetViews>
  <sheetFormatPr baseColWidth="10" defaultRowHeight="14.5" x14ac:dyDescent="0.35"/>
  <cols>
    <col min="1" max="1" width="17.26953125" customWidth="1"/>
    <col min="2" max="2" width="19.1796875" customWidth="1"/>
    <col min="3" max="3" width="17.7265625" customWidth="1"/>
    <col min="4" max="4" width="21.08984375" customWidth="1"/>
    <col min="5" max="5" width="28.90625" customWidth="1"/>
  </cols>
  <sheetData>
    <row r="2" spans="1:5" ht="15" thickBot="1" x14ac:dyDescent="0.4"/>
    <row r="3" spans="1:5" ht="15.5" thickTop="1" thickBot="1" x14ac:dyDescent="0.4">
      <c r="A3" s="13" t="s">
        <v>20</v>
      </c>
      <c r="B3" s="13" t="s">
        <v>38</v>
      </c>
      <c r="C3" s="15" t="s">
        <v>44</v>
      </c>
      <c r="D3" s="18" t="s">
        <v>46</v>
      </c>
      <c r="E3" s="18"/>
    </row>
    <row r="4" spans="1:5" ht="15.5" thickTop="1" thickBot="1" x14ac:dyDescent="0.4">
      <c r="A4" s="13" t="s">
        <v>43</v>
      </c>
      <c r="B4" s="16" t="s">
        <v>45</v>
      </c>
      <c r="C4" s="24"/>
      <c r="D4" s="3"/>
      <c r="E4" s="3"/>
    </row>
    <row r="5" spans="1:5" ht="15.5" thickTop="1" thickBot="1" x14ac:dyDescent="0.4">
      <c r="A5" s="1"/>
      <c r="B5" s="13" t="s">
        <v>41</v>
      </c>
      <c r="C5" s="17"/>
      <c r="D5" s="3"/>
      <c r="E5" s="3"/>
    </row>
    <row r="6" spans="1:5" ht="15.5" thickTop="1" thickBot="1" x14ac:dyDescent="0.4">
      <c r="A6" s="2"/>
      <c r="B6" s="13" t="s">
        <v>42</v>
      </c>
      <c r="C6" s="17">
        <v>45559</v>
      </c>
      <c r="D6" s="3"/>
      <c r="E6" s="3"/>
    </row>
    <row r="7" spans="1:5" ht="15" thickTop="1" x14ac:dyDescent="0.35">
      <c r="A7" s="2"/>
      <c r="B7" s="2"/>
      <c r="D7" s="3"/>
      <c r="E7" s="3"/>
    </row>
    <row r="8" spans="1:5" x14ac:dyDescent="0.35">
      <c r="A8" s="2" t="s">
        <v>0</v>
      </c>
      <c r="B8" s="2" t="s">
        <v>1</v>
      </c>
      <c r="C8" s="3" t="s">
        <v>2</v>
      </c>
      <c r="D8" s="3" t="s">
        <v>3</v>
      </c>
      <c r="E8" s="3" t="s">
        <v>4</v>
      </c>
    </row>
    <row r="9" spans="1:5" x14ac:dyDescent="0.35">
      <c r="A9" s="5">
        <v>45536</v>
      </c>
      <c r="B9" s="5" t="s">
        <v>13</v>
      </c>
      <c r="C9" s="25" t="s">
        <v>23</v>
      </c>
      <c r="D9" s="7">
        <v>3500</v>
      </c>
      <c r="E9" s="26" t="s">
        <v>23</v>
      </c>
    </row>
    <row r="10" spans="1:5" x14ac:dyDescent="0.35">
      <c r="A10" s="5">
        <v>45566</v>
      </c>
      <c r="B10" s="5" t="s">
        <v>14</v>
      </c>
      <c r="C10" s="25" t="s">
        <v>23</v>
      </c>
      <c r="D10" s="7">
        <f>15400+350</f>
        <v>15750</v>
      </c>
      <c r="E10" s="26" t="s">
        <v>23</v>
      </c>
    </row>
    <row r="11" spans="1:5" x14ac:dyDescent="0.35">
      <c r="A11" s="5">
        <v>45597</v>
      </c>
      <c r="B11" s="5" t="s">
        <v>15</v>
      </c>
      <c r="C11" s="25" t="s">
        <v>23</v>
      </c>
      <c r="D11" s="7">
        <f>17150+475.16</f>
        <v>17625.16</v>
      </c>
      <c r="E11" s="26" t="s">
        <v>23</v>
      </c>
    </row>
    <row r="12" spans="1:5" x14ac:dyDescent="0.35">
      <c r="A12" s="5">
        <v>45627</v>
      </c>
      <c r="B12" s="5" t="s">
        <v>16</v>
      </c>
      <c r="C12" s="25" t="s">
        <v>23</v>
      </c>
      <c r="D12" s="7">
        <v>10500</v>
      </c>
      <c r="E12" s="26" t="s">
        <v>23</v>
      </c>
    </row>
    <row r="13" spans="1:5" x14ac:dyDescent="0.35">
      <c r="A13" s="5">
        <v>45658</v>
      </c>
      <c r="B13" s="5"/>
      <c r="C13" s="25" t="s">
        <v>23</v>
      </c>
      <c r="D13" s="7">
        <v>15400</v>
      </c>
      <c r="E13" s="26" t="s">
        <v>23</v>
      </c>
    </row>
    <row r="14" spans="1:5" x14ac:dyDescent="0.35">
      <c r="A14" s="5" t="s">
        <v>17</v>
      </c>
      <c r="B14" s="5"/>
      <c r="C14" s="6"/>
      <c r="D14" s="7">
        <f>SUM(Tableau1579[Montant Facturé HT])</f>
        <v>62775.16</v>
      </c>
      <c r="E14" s="7">
        <f>SUM(Tableau1579[Cout de revient Salarié])</f>
        <v>0</v>
      </c>
    </row>
    <row r="20" spans="2:2" x14ac:dyDescent="0.35">
      <c r="B20" s="27"/>
    </row>
  </sheetData>
  <mergeCells count="2">
    <mergeCell ref="D3:E3"/>
    <mergeCell ref="B4:C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FAREH</dc:creator>
  <cp:lastModifiedBy>mabsout abir</cp:lastModifiedBy>
  <dcterms:created xsi:type="dcterms:W3CDTF">2023-06-06T20:41:17Z</dcterms:created>
  <dcterms:modified xsi:type="dcterms:W3CDTF">2025-05-20T22:09:31Z</dcterms:modified>
</cp:coreProperties>
</file>