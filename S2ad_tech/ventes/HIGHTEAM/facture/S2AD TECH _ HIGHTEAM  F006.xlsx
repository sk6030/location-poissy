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PC\Desktop\S2ad_tech\ventes\HIGHTEAM\facture\"/>
    </mc:Choice>
  </mc:AlternateContent>
  <xr:revisionPtr revIDLastSave="0" documentId="8_{D4E3A983-8FA6-4E3D-9EC6-71EA4C6897FA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Facture de service" sheetId="1" r:id="rId1"/>
  </sheets>
  <definedNames>
    <definedName name="LOCAL_DATE_SEPARATOR">NA()</definedName>
    <definedName name="LOCAL_DAY_FORMAT">NA()</definedName>
    <definedName name="LOCAL_HOUR_FORMAT">NA()</definedName>
    <definedName name="LOCAL_MINUTE_FORMAT">NA()</definedName>
    <definedName name="LOCAL_MONTH_FORMAT">NA()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>NA()</definedName>
    <definedName name="LOCAL_TIME_SEPARATOR">NA()</definedName>
    <definedName name="LOCAL_YEAR_FORMAT">NA()</definedName>
    <definedName name="_xlnm.Print_Area" localSheetId="0">'Facture de service'!$B$2:$F$64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" l="1"/>
  <c r="F18" i="1"/>
  <c r="D36" i="1"/>
  <c r="F36" i="1" s="1"/>
  <c r="F35" i="1"/>
  <c r="F37" i="1" l="1"/>
  <c r="F39" i="1" s="1"/>
  <c r="F40" i="1" s="1"/>
  <c r="F42" i="1" s="1"/>
</calcChain>
</file>

<file path=xl/sharedStrings.xml><?xml version="1.0" encoding="utf-8"?>
<sst xmlns="http://schemas.openxmlformats.org/spreadsheetml/2006/main" count="42" uniqueCount="40">
  <si>
    <t>S2AD TECH</t>
  </si>
  <si>
    <t>30 B RUE DE LA SAUSSAYE</t>
  </si>
  <si>
    <t>Facture</t>
  </si>
  <si>
    <t>91300 MASSY</t>
  </si>
  <si>
    <t xml:space="preserve">N° facture </t>
  </si>
  <si>
    <t>Date</t>
  </si>
  <si>
    <t xml:space="preserve">Code client </t>
  </si>
  <si>
    <t>Tél : 06 51 40 59 82</t>
  </si>
  <si>
    <r>
      <rPr>
        <b/>
        <sz val="11"/>
        <rFont val="Arial Narrow"/>
        <family val="2"/>
      </rPr>
      <t xml:space="preserve">RCS : </t>
    </r>
    <r>
      <rPr>
        <sz val="11"/>
        <rFont val="Arial Narrow"/>
        <family val="2"/>
      </rPr>
      <t>894530716</t>
    </r>
  </si>
  <si>
    <r>
      <rPr>
        <b/>
        <sz val="11"/>
        <rFont val="Arial Narrow"/>
        <family val="2"/>
      </rPr>
      <t>SIRET :</t>
    </r>
    <r>
      <rPr>
        <sz val="11"/>
        <rFont val="Arial Narrow"/>
        <family val="2"/>
      </rPr>
      <t xml:space="preserve"> 89453071600014</t>
    </r>
  </si>
  <si>
    <r>
      <rPr>
        <b/>
        <sz val="11"/>
        <rFont val="Arial Narrow"/>
        <family val="2"/>
      </rPr>
      <t>APE :</t>
    </r>
    <r>
      <rPr>
        <sz val="11"/>
        <rFont val="Arial Narrow"/>
        <family val="2"/>
      </rPr>
      <t xml:space="preserve"> 6202A</t>
    </r>
  </si>
  <si>
    <r>
      <rPr>
        <b/>
        <sz val="11"/>
        <rFont val="Arial Narrow"/>
        <family val="2"/>
      </rPr>
      <t xml:space="preserve">TVA : </t>
    </r>
    <r>
      <rPr>
        <sz val="11"/>
        <rFont val="Arial Narrow"/>
        <family val="2"/>
      </rPr>
      <t>FR54894530716</t>
    </r>
  </si>
  <si>
    <t xml:space="preserve"> </t>
  </si>
  <si>
    <t xml:space="preserve">Condition de règlement    </t>
  </si>
  <si>
    <t>Référence</t>
  </si>
  <si>
    <t xml:space="preserve">Description </t>
  </si>
  <si>
    <t>Quantité</t>
  </si>
  <si>
    <t>Prix unitaire H.T.</t>
  </si>
  <si>
    <t>Montant</t>
  </si>
  <si>
    <t>Total de Jours</t>
  </si>
  <si>
    <t xml:space="preserve">Total HT </t>
  </si>
  <si>
    <t xml:space="preserve">% TVA </t>
  </si>
  <si>
    <t xml:space="preserve">Total TVA </t>
  </si>
  <si>
    <t>Total TTC</t>
  </si>
  <si>
    <t xml:space="preserve">Déjà réglé TTC </t>
  </si>
  <si>
    <t xml:space="preserve">Net à payer </t>
  </si>
  <si>
    <t>Toutes les factures sont payables à réception  sur le RIB  S2AD TECH</t>
  </si>
  <si>
    <t>Facture payable par virement à 30 jours à réception de facture</t>
  </si>
  <si>
    <t>HIGHTEAM</t>
  </si>
  <si>
    <t>122, Avenue Charles de Gaulle</t>
  </si>
  <si>
    <t>92200 Neuilly-sur-Seine</t>
  </si>
  <si>
    <t>RCS: Nanterre B 517 530 176</t>
  </si>
  <si>
    <t>TVA: FR04517530176</t>
  </si>
  <si>
    <t>ST09122024</t>
  </si>
  <si>
    <t>amabsout@s2ad-tech.org</t>
  </si>
  <si>
    <t>mail:</t>
  </si>
  <si>
    <t>alahmar@s2ad-tech.org</t>
  </si>
  <si>
    <t>CONSULTANT.NET</t>
  </si>
  <si>
    <t>F006</t>
  </si>
  <si>
    <t xml:space="preserve">Période du  01/05/2025 au 31/05/2025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</si>
</sst>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€&quot;* #,##0.00_);_(&quot;€&quot;* \(#,##0.00\);_(&quot;€&quot;* \-??_);_(@_)"/>
    <numFmt numFmtId="165" formatCode="#,##0.00&quot; €&quot;"/>
    <numFmt numFmtId="166" formatCode="_(* #,##0.00_);_(* \(#,##0.00\);;_(@_)"/>
    <numFmt numFmtId="167" formatCode="@&quot;  &quot;"/>
    <numFmt numFmtId="168" formatCode="0.00\ %"/>
  </numFmts>
  <fonts count="29">
    <font>
      <sz val="10"/>
      <name val="Arial"/>
      <charset val="134"/>
    </font>
    <font>
      <b/>
      <sz val="12"/>
      <name val="Arial Narrow"/>
      <family val="2"/>
    </font>
    <font>
      <b/>
      <sz val="11"/>
      <name val="Arial Narrow"/>
      <family val="2"/>
    </font>
    <font>
      <sz val="12"/>
      <name val="Arial Narrow"/>
      <family val="2"/>
    </font>
    <font>
      <sz val="11"/>
      <name val="Arial Narrow"/>
      <family val="2"/>
    </font>
    <font>
      <b/>
      <sz val="14"/>
      <name val="Arial"/>
      <family val="2"/>
    </font>
    <font>
      <b/>
      <sz val="9"/>
      <name val="Arial"/>
      <family val="2"/>
    </font>
    <font>
      <b/>
      <sz val="10"/>
      <color indexed="3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i/>
      <sz val="10"/>
      <color indexed="23"/>
      <name val="Arial"/>
      <family val="2"/>
    </font>
    <font>
      <b/>
      <sz val="10"/>
      <color indexed="9"/>
      <name val="Arial"/>
      <family val="2"/>
    </font>
    <font>
      <sz val="10"/>
      <color indexed="17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9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0"/>
      <color indexed="19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0"/>
      <color rgb="FF0066CC"/>
      <name val="Arial"/>
      <family val="2"/>
    </font>
    <font>
      <sz val="11"/>
      <name val="Arial Narrow"/>
      <family val="2"/>
    </font>
    <font>
      <u/>
      <sz val="10"/>
      <color theme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41"/>
        <bgColor indexed="27"/>
      </patternFill>
    </fill>
    <fill>
      <patternFill patternType="solid">
        <fgColor indexed="10"/>
        <bgColor indexed="1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7"/>
        <bgColor indexed="3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31"/>
        <bgColor indexed="27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</borders>
  <cellStyleXfs count="18">
    <xf numFmtId="0" fontId="0" fillId="0" borderId="0"/>
    <xf numFmtId="0" fontId="16" fillId="5" borderId="0" applyNumberFormat="0" applyBorder="0" applyAlignment="0" applyProtection="0"/>
    <xf numFmtId="0" fontId="17" fillId="0" borderId="0" applyNumberFormat="0" applyFill="0" applyBorder="0" applyAlignment="0" applyProtection="0"/>
    <xf numFmtId="0" fontId="24" fillId="0" borderId="0"/>
    <xf numFmtId="0" fontId="15" fillId="4" borderId="0" applyNumberFormat="0" applyBorder="0" applyAlignment="0" applyProtection="0"/>
    <xf numFmtId="0" fontId="24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0" fillId="8" borderId="0" applyNumberFormat="0" applyBorder="0" applyAlignment="0" applyProtection="0"/>
    <xf numFmtId="0" fontId="20" fillId="9" borderId="0" applyNumberFormat="0" applyBorder="0" applyAlignment="0" applyProtection="0"/>
    <xf numFmtId="0" fontId="18" fillId="10" borderId="0" applyNumberFormat="0" applyBorder="0" applyAlignment="0" applyProtection="0"/>
    <xf numFmtId="0" fontId="19" fillId="7" borderId="0" applyNumberFormat="0" applyBorder="0" applyAlignment="0" applyProtection="0"/>
    <xf numFmtId="0" fontId="1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6" borderId="0" applyNumberFormat="0" applyBorder="0" applyAlignment="0" applyProtection="0"/>
    <xf numFmtId="0" fontId="24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wrapText="1"/>
    </xf>
    <xf numFmtId="0" fontId="8" fillId="0" borderId="0" xfId="0" applyFont="1"/>
    <xf numFmtId="0" fontId="4" fillId="0" borderId="0" xfId="0" applyFont="1" applyAlignment="1">
      <alignment horizontal="left" vertical="center" wrapText="1"/>
    </xf>
    <xf numFmtId="0" fontId="9" fillId="0" borderId="0" xfId="0" applyFont="1"/>
    <xf numFmtId="14" fontId="2" fillId="0" borderId="0" xfId="0" applyNumberFormat="1" applyFont="1" applyAlignment="1">
      <alignment horizontal="left" vertical="top" wrapText="1"/>
    </xf>
    <xf numFmtId="0" fontId="9" fillId="2" borderId="2" xfId="0" applyFont="1" applyFill="1" applyBorder="1" applyAlignment="1">
      <alignment vertical="center"/>
    </xf>
    <xf numFmtId="0" fontId="9" fillId="2" borderId="3" xfId="0" applyFont="1" applyFill="1" applyBorder="1" applyAlignment="1">
      <alignment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2" fontId="8" fillId="0" borderId="5" xfId="0" applyNumberFormat="1" applyFont="1" applyBorder="1" applyAlignment="1">
      <alignment horizontal="center" vertical="center"/>
    </xf>
    <xf numFmtId="164" fontId="8" fillId="3" borderId="2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164" fontId="8" fillId="3" borderId="6" xfId="0" applyNumberFormat="1" applyFont="1" applyFill="1" applyBorder="1" applyAlignment="1">
      <alignment horizontal="right" vertical="center"/>
    </xf>
    <xf numFmtId="165" fontId="8" fillId="3" borderId="6" xfId="0" applyNumberFormat="1" applyFont="1" applyFill="1" applyBorder="1" applyAlignment="1">
      <alignment horizontal="right" vertical="center"/>
    </xf>
    <xf numFmtId="0" fontId="8" fillId="0" borderId="6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166" fontId="8" fillId="3" borderId="6" xfId="0" applyNumberFormat="1" applyFont="1" applyFill="1" applyBorder="1" applyAlignment="1">
      <alignment horizontal="right" vertical="center"/>
    </xf>
    <xf numFmtId="0" fontId="8" fillId="0" borderId="7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2" fontId="8" fillId="0" borderId="9" xfId="0" applyNumberFormat="1" applyFont="1" applyBorder="1" applyAlignment="1">
      <alignment horizontal="center" vertical="center"/>
    </xf>
    <xf numFmtId="166" fontId="8" fillId="3" borderId="7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167" fontId="8" fillId="0" borderId="0" xfId="0" applyNumberFormat="1" applyFont="1" applyAlignment="1">
      <alignment horizontal="right" vertical="center"/>
    </xf>
    <xf numFmtId="4" fontId="8" fillId="0" borderId="1" xfId="0" applyNumberFormat="1" applyFont="1" applyBorder="1" applyAlignment="1">
      <alignment horizontal="right" vertical="center"/>
    </xf>
    <xf numFmtId="168" fontId="8" fillId="0" borderId="1" xfId="0" applyNumberFormat="1" applyFont="1" applyBorder="1" applyAlignment="1">
      <alignment horizontal="right" vertical="center"/>
    </xf>
    <xf numFmtId="4" fontId="8" fillId="3" borderId="1" xfId="0" applyNumberFormat="1" applyFont="1" applyFill="1" applyBorder="1" applyAlignment="1">
      <alignment horizontal="right" vertical="center"/>
    </xf>
    <xf numFmtId="167" fontId="10" fillId="0" borderId="0" xfId="0" applyNumberFormat="1" applyFont="1" applyAlignment="1">
      <alignment horizontal="right" vertical="center"/>
    </xf>
    <xf numFmtId="164" fontId="10" fillId="2" borderId="1" xfId="0" applyNumberFormat="1" applyFont="1" applyFill="1" applyBorder="1" applyAlignment="1">
      <alignment horizontal="right" vertical="center"/>
    </xf>
    <xf numFmtId="4" fontId="8" fillId="3" borderId="6" xfId="0" applyNumberFormat="1" applyFont="1" applyFill="1" applyBorder="1" applyAlignment="1">
      <alignment horizontal="right" vertical="center"/>
    </xf>
    <xf numFmtId="4" fontId="10" fillId="2" borderId="1" xfId="0" applyNumberFormat="1" applyFont="1" applyFill="1" applyBorder="1" applyAlignment="1">
      <alignment horizontal="right" vertical="center"/>
    </xf>
    <xf numFmtId="0" fontId="11" fillId="0" borderId="0" xfId="0" applyFont="1"/>
    <xf numFmtId="0" fontId="9" fillId="0" borderId="0" xfId="0" applyFont="1" applyAlignment="1">
      <alignment horizontal="center" vertical="top"/>
    </xf>
    <xf numFmtId="0" fontId="25" fillId="0" borderId="4" xfId="0" applyFont="1" applyBorder="1" applyAlignment="1">
      <alignment horizontal="left" vertical="center"/>
    </xf>
    <xf numFmtId="0" fontId="26" fillId="0" borderId="1" xfId="0" applyFont="1" applyBorder="1" applyAlignment="1">
      <alignment horizontal="center" vertical="center"/>
    </xf>
    <xf numFmtId="0" fontId="27" fillId="0" borderId="0" xfId="0" applyFont="1" applyAlignment="1">
      <alignment horizontal="left" vertical="top" wrapText="1"/>
    </xf>
    <xf numFmtId="0" fontId="12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4" fillId="0" borderId="2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wrapText="1"/>
    </xf>
    <xf numFmtId="0" fontId="28" fillId="0" borderId="0" xfId="17"/>
    <xf numFmtId="2" fontId="8" fillId="0" borderId="10" xfId="0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wrapText="1"/>
    </xf>
  </cellXfs>
  <cellStyles count="18">
    <cellStyle name="Accent" xfId="6" xr:uid="{00000000-0005-0000-0000-00002C000000}"/>
    <cellStyle name="Accent 1" xfId="7" xr:uid="{00000000-0005-0000-0000-000037000000}"/>
    <cellStyle name="Accent 2" xfId="8" xr:uid="{00000000-0005-0000-0000-000038000000}"/>
    <cellStyle name="Accent 3" xfId="9" xr:uid="{00000000-0005-0000-0000-000039000000}"/>
    <cellStyle name="Bad" xfId="10" xr:uid="{00000000-0005-0000-0000-00003A000000}"/>
    <cellStyle name="Error" xfId="4" xr:uid="{00000000-0005-0000-0000-00001A000000}"/>
    <cellStyle name="Footnote" xfId="11" xr:uid="{00000000-0005-0000-0000-00003B000000}"/>
    <cellStyle name="Good" xfId="1" xr:uid="{00000000-0005-0000-0000-000008000000}"/>
    <cellStyle name="Heading" xfId="12" xr:uid="{00000000-0005-0000-0000-00003C000000}"/>
    <cellStyle name="Heading 1" xfId="13" xr:uid="{00000000-0005-0000-0000-00003D000000}"/>
    <cellStyle name="Heading 2" xfId="2" xr:uid="{00000000-0005-0000-0000-00000D000000}"/>
    <cellStyle name="Lien hypertexte" xfId="17" builtinId="8"/>
    <cellStyle name="Neutral" xfId="14" xr:uid="{00000000-0005-0000-0000-00003E000000}"/>
    <cellStyle name="Normal" xfId="0" builtinId="0"/>
    <cellStyle name="Normal 2" xfId="3" xr:uid="{00000000-0005-0000-0000-000017000000}"/>
    <cellStyle name="Status" xfId="15" xr:uid="{00000000-0005-0000-0000-00003F000000}"/>
    <cellStyle name="Text" xfId="5" xr:uid="{00000000-0005-0000-0000-000021000000}"/>
    <cellStyle name="Warning" xfId="16" xr:uid="{00000000-0005-0000-0000-000040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FF"/>
      <rgbColor rgb="00FFFF00"/>
      <rgbColor rgb="00FF00FF"/>
      <rgbColor rgb="0000FFFF"/>
      <rgbColor rgb="00800000"/>
      <rgbColor rgb="00006600"/>
      <rgbColor rgb="00000080"/>
      <rgbColor rgb="00996600"/>
      <rgbColor rgb="00800080"/>
      <rgbColor rgb="00008080"/>
      <rgbColor rgb="00C0C0C0"/>
      <rgbColor rgb="00808080"/>
      <rgbColor rgb="009999FF"/>
      <rgbColor rgb="00993366"/>
      <rgbColor rgb="00FFFFCC"/>
      <rgbColor rgb="00D8E4E8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AEAEA"/>
      <rgbColor rgb="00CCFFCC"/>
      <rgbColor rgb="00FFFF99"/>
      <rgbColor rgb="0099CCFF"/>
      <rgbColor rgb="00FF99CC"/>
      <rgbColor rgb="00CC99FF"/>
      <rgbColor rgb="00FFCCCC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lahmar@s2ad-tech.org" TargetMode="External"/><Relationship Id="rId1" Type="http://schemas.openxmlformats.org/officeDocument/2006/relationships/hyperlink" Target="mailto:amabsout@s2ad-tech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7"/>
    <pageSetUpPr fitToPage="1"/>
  </sheetPr>
  <dimension ref="A2:K54"/>
  <sheetViews>
    <sheetView showGridLines="0" tabSelected="1" topLeftCell="A4" zoomScale="80" zoomScaleNormal="80" workbookViewId="0">
      <selection activeCell="C35" sqref="C35"/>
    </sheetView>
  </sheetViews>
  <sheetFormatPr baseColWidth="10" defaultColWidth="9.1796875" defaultRowHeight="15" customHeight="1"/>
  <cols>
    <col min="1" max="1" width="9.54296875" customWidth="1"/>
    <col min="2" max="2" width="31.7265625" customWidth="1"/>
    <col min="3" max="3" width="53.81640625" customWidth="1"/>
    <col min="4" max="4" width="22.1796875" customWidth="1"/>
    <col min="5" max="5" width="17" customWidth="1"/>
    <col min="6" max="6" width="24.54296875" customWidth="1"/>
  </cols>
  <sheetData>
    <row r="2" spans="1:11" ht="15" customHeight="1">
      <c r="B2" s="3" t="s">
        <v>0</v>
      </c>
      <c r="C2" s="4"/>
    </row>
    <row r="3" spans="1:11" ht="15" customHeight="1">
      <c r="B3" s="5" t="s">
        <v>1</v>
      </c>
      <c r="C3" s="6"/>
      <c r="D3" s="56" t="s">
        <v>2</v>
      </c>
      <c r="E3" s="56"/>
      <c r="F3" s="56"/>
    </row>
    <row r="4" spans="1:11" ht="15" customHeight="1">
      <c r="B4" s="5" t="s">
        <v>3</v>
      </c>
      <c r="C4" s="6"/>
      <c r="D4" s="7" t="s">
        <v>4</v>
      </c>
      <c r="E4" s="7" t="s">
        <v>5</v>
      </c>
      <c r="F4" s="7" t="s">
        <v>6</v>
      </c>
    </row>
    <row r="5" spans="1:11" ht="15" customHeight="1">
      <c r="B5" s="5" t="s">
        <v>7</v>
      </c>
      <c r="C5" s="6"/>
      <c r="D5" s="45" t="s">
        <v>38</v>
      </c>
      <c r="E5" s="8">
        <v>45804</v>
      </c>
      <c r="F5" s="50" t="s">
        <v>28</v>
      </c>
    </row>
    <row r="6" spans="1:11" ht="15" customHeight="1">
      <c r="B6" s="6"/>
      <c r="C6" s="6"/>
    </row>
    <row r="7" spans="1:11" ht="15" customHeight="1">
      <c r="B7" s="57" t="s">
        <v>8</v>
      </c>
      <c r="C7" s="57"/>
      <c r="D7" s="9" t="s">
        <v>28</v>
      </c>
    </row>
    <row r="8" spans="1:11" ht="15" customHeight="1">
      <c r="B8" s="9" t="s">
        <v>9</v>
      </c>
      <c r="C8" s="9"/>
      <c r="D8" s="58" t="s">
        <v>29</v>
      </c>
      <c r="E8" s="58"/>
      <c r="F8" s="11"/>
    </row>
    <row r="9" spans="1:11" ht="15" customHeight="1">
      <c r="B9" s="9" t="s">
        <v>10</v>
      </c>
      <c r="C9" s="9"/>
      <c r="D9" s="58" t="s">
        <v>30</v>
      </c>
      <c r="E9" s="58"/>
      <c r="F9" s="10"/>
    </row>
    <row r="10" spans="1:11" ht="15" customHeight="1">
      <c r="B10" s="9" t="s">
        <v>11</v>
      </c>
      <c r="C10" s="9"/>
      <c r="D10" s="9" t="s">
        <v>31</v>
      </c>
      <c r="E10" s="11"/>
      <c r="F10" s="11"/>
    </row>
    <row r="11" spans="1:11" ht="15" customHeight="1">
      <c r="D11" s="9" t="s">
        <v>32</v>
      </c>
    </row>
    <row r="12" spans="1:11" ht="15.75" customHeight="1">
      <c r="A12" s="2"/>
      <c r="B12" s="12"/>
      <c r="C12" s="46"/>
      <c r="D12" s="13"/>
      <c r="E12" s="13"/>
      <c r="F12" s="13"/>
      <c r="H12" t="s">
        <v>12</v>
      </c>
      <c r="K12" s="13"/>
    </row>
    <row r="13" spans="1:11" ht="15" customHeight="1">
      <c r="A13" s="2"/>
      <c r="B13" s="12" t="s">
        <v>13</v>
      </c>
      <c r="C13" s="46" t="s">
        <v>27</v>
      </c>
      <c r="D13" s="13"/>
    </row>
    <row r="14" spans="1:11" ht="15" customHeight="1">
      <c r="B14" s="9"/>
      <c r="C14" s="14"/>
    </row>
    <row r="15" spans="1:11" ht="15" customHeight="1">
      <c r="B15" s="9"/>
      <c r="C15" s="6"/>
    </row>
    <row r="17" spans="2:6" s="1" customFormat="1" ht="15" customHeight="1">
      <c r="B17" s="15" t="s">
        <v>14</v>
      </c>
      <c r="C17" s="16" t="s">
        <v>15</v>
      </c>
      <c r="D17" s="17" t="s">
        <v>16</v>
      </c>
      <c r="E17" s="17" t="s">
        <v>17</v>
      </c>
      <c r="F17" s="18" t="s">
        <v>18</v>
      </c>
    </row>
    <row r="18" spans="2:6" s="2" customFormat="1" ht="30.75" customHeight="1">
      <c r="B18" s="49" t="s">
        <v>33</v>
      </c>
      <c r="C18" s="51" t="s">
        <v>37</v>
      </c>
      <c r="D18" s="19">
        <v>19</v>
      </c>
      <c r="E18" s="19">
        <v>480</v>
      </c>
      <c r="F18" s="20">
        <f>D18*E18</f>
        <v>9120</v>
      </c>
    </row>
    <row r="19" spans="2:6" s="2" customFormat="1" ht="15" customHeight="1">
      <c r="B19" s="21"/>
      <c r="C19" s="44"/>
      <c r="D19" s="19"/>
      <c r="E19" s="19"/>
      <c r="F19" s="23"/>
    </row>
    <row r="20" spans="2:6" s="2" customFormat="1" ht="15" customHeight="1">
      <c r="B20" s="21"/>
      <c r="C20" s="22"/>
      <c r="D20" s="19"/>
      <c r="E20" s="19"/>
      <c r="F20" s="24"/>
    </row>
    <row r="21" spans="2:6" s="2" customFormat="1" ht="15" customHeight="1">
      <c r="B21" s="21"/>
      <c r="C21" s="22"/>
      <c r="D21" s="19"/>
      <c r="E21" s="19"/>
      <c r="F21" s="24"/>
    </row>
    <row r="22" spans="2:6" s="2" customFormat="1" ht="15" customHeight="1">
      <c r="B22" s="21"/>
      <c r="C22" s="22"/>
      <c r="D22" s="19"/>
      <c r="E22" s="19"/>
      <c r="F22" s="24"/>
    </row>
    <row r="23" spans="2:6" s="2" customFormat="1" ht="15" customHeight="1">
      <c r="B23" s="21"/>
      <c r="D23" s="19"/>
      <c r="E23" s="19"/>
      <c r="F23" s="24"/>
    </row>
    <row r="24" spans="2:6" s="2" customFormat="1" ht="15" customHeight="1">
      <c r="B24" s="21"/>
      <c r="D24" s="19"/>
      <c r="E24" s="19"/>
      <c r="F24" s="24"/>
    </row>
    <row r="25" spans="2:6" s="2" customFormat="1" ht="15" customHeight="1">
      <c r="B25" s="21"/>
      <c r="C25" s="22"/>
      <c r="D25" s="19"/>
      <c r="E25" s="19"/>
      <c r="F25" s="24"/>
    </row>
    <row r="26" spans="2:6" s="2" customFormat="1" ht="15" customHeight="1">
      <c r="B26" s="21"/>
      <c r="D26" s="19"/>
      <c r="E26" s="19"/>
      <c r="F26" s="24"/>
    </row>
    <row r="27" spans="2:6" s="2" customFormat="1" ht="15" customHeight="1">
      <c r="B27" s="21"/>
      <c r="C27" s="22"/>
      <c r="D27" s="19"/>
      <c r="E27" s="19"/>
      <c r="F27" s="24"/>
    </row>
    <row r="28" spans="2:6" s="2" customFormat="1" ht="15" customHeight="1">
      <c r="B28" s="21"/>
      <c r="C28" s="22"/>
      <c r="D28" s="19"/>
      <c r="E28" s="19"/>
      <c r="F28" s="24"/>
    </row>
    <row r="29" spans="2:6" s="2" customFormat="1" ht="15" customHeight="1">
      <c r="B29" s="21"/>
      <c r="D29" s="19"/>
      <c r="E29" s="19"/>
      <c r="F29" s="24"/>
    </row>
    <row r="30" spans="2:6" s="2" customFormat="1" ht="15" customHeight="1">
      <c r="B30" s="21"/>
      <c r="C30" s="26"/>
      <c r="D30" s="19"/>
      <c r="E30" s="19"/>
      <c r="F30" s="24"/>
    </row>
    <row r="31" spans="2:6" s="2" customFormat="1" ht="15" customHeight="1">
      <c r="B31" s="25"/>
      <c r="C31" s="26"/>
      <c r="D31" s="19"/>
      <c r="E31" s="19"/>
      <c r="F31" s="27">
        <f>D31*H26</f>
        <v>0</v>
      </c>
    </row>
    <row r="32" spans="2:6" s="2" customFormat="1" ht="15" customHeight="1">
      <c r="B32" s="25"/>
      <c r="D32" s="53"/>
      <c r="E32" s="1"/>
      <c r="F32" s="27"/>
    </row>
    <row r="33" spans="1:6" s="2" customFormat="1" ht="15" customHeight="1">
      <c r="B33" s="25"/>
      <c r="D33" s="53"/>
      <c r="E33" s="48"/>
      <c r="F33" s="27"/>
    </row>
    <row r="34" spans="1:6" s="2" customFormat="1" ht="15" customHeight="1">
      <c r="B34" s="25"/>
      <c r="C34" s="26"/>
      <c r="D34" s="19"/>
      <c r="E34" s="19"/>
      <c r="F34" s="27"/>
    </row>
    <row r="35" spans="1:6" s="2" customFormat="1" ht="15" customHeight="1">
      <c r="B35" s="25"/>
      <c r="C35" s="26" t="s">
        <v>39</v>
      </c>
      <c r="D35" s="19"/>
      <c r="E35" s="19"/>
      <c r="F35" s="27">
        <f>D35*E35</f>
        <v>0</v>
      </c>
    </row>
    <row r="36" spans="1:6" s="2" customFormat="1" ht="15" customHeight="1">
      <c r="B36" s="28"/>
      <c r="C36" s="29" t="s">
        <v>19</v>
      </c>
      <c r="D36" s="30">
        <f>SUM(D18:D32)</f>
        <v>19</v>
      </c>
      <c r="E36" s="30"/>
      <c r="F36" s="31">
        <f>D36*E36</f>
        <v>0</v>
      </c>
    </row>
    <row r="37" spans="1:6" s="2" customFormat="1" ht="15" customHeight="1">
      <c r="B37" s="32"/>
      <c r="C37" s="32"/>
      <c r="D37" s="33"/>
      <c r="E37" s="34" t="s">
        <v>20</v>
      </c>
      <c r="F37" s="35">
        <f>SUM(F18:F36)</f>
        <v>9120</v>
      </c>
    </row>
    <row r="38" spans="1:6" s="2" customFormat="1" ht="15" customHeight="1">
      <c r="B38" s="32"/>
      <c r="C38" s="32"/>
      <c r="D38" s="33"/>
      <c r="E38" s="34" t="s">
        <v>21</v>
      </c>
      <c r="F38" s="36">
        <v>0.2</v>
      </c>
    </row>
    <row r="39" spans="1:6" s="2" customFormat="1" ht="15" customHeight="1">
      <c r="B39" s="32"/>
      <c r="C39" s="32"/>
      <c r="D39" s="33"/>
      <c r="E39" s="34" t="s">
        <v>22</v>
      </c>
      <c r="F39" s="37">
        <f>F37*F38</f>
        <v>1824</v>
      </c>
    </row>
    <row r="40" spans="1:6" s="2" customFormat="1" ht="15" customHeight="1">
      <c r="B40" s="33"/>
      <c r="C40" s="33"/>
      <c r="D40" s="33"/>
      <c r="E40" s="38" t="s">
        <v>23</v>
      </c>
      <c r="F40" s="39">
        <f>SUM(F37+F39)</f>
        <v>10944</v>
      </c>
    </row>
    <row r="41" spans="1:6" s="2" customFormat="1" ht="15" customHeight="1">
      <c r="B41" s="32"/>
      <c r="C41" s="32"/>
      <c r="D41" s="33"/>
      <c r="E41" s="34" t="s">
        <v>24</v>
      </c>
      <c r="F41" s="40"/>
    </row>
    <row r="42" spans="1:6" s="2" customFormat="1" ht="15" customHeight="1">
      <c r="B42" s="32"/>
      <c r="C42" s="32"/>
      <c r="D42" s="33"/>
      <c r="E42" s="34" t="s">
        <v>25</v>
      </c>
      <c r="F42" s="41">
        <f>SUM(F40)</f>
        <v>10944</v>
      </c>
    </row>
    <row r="46" spans="1:6" ht="15" customHeight="1">
      <c r="A46" s="42"/>
      <c r="B46" s="54" t="s">
        <v>26</v>
      </c>
      <c r="C46" s="54"/>
      <c r="D46" s="54"/>
      <c r="E46" s="54"/>
      <c r="F46" s="54"/>
    </row>
    <row r="47" spans="1:6" ht="15" customHeight="1">
      <c r="A47" s="42"/>
      <c r="B47" s="55" t="s">
        <v>0</v>
      </c>
      <c r="C47" s="55"/>
      <c r="D47" s="55"/>
      <c r="E47" s="55"/>
      <c r="F47" s="55"/>
    </row>
    <row r="48" spans="1:6" ht="15" customHeight="1">
      <c r="B48" s="54"/>
      <c r="C48" s="54"/>
      <c r="D48" s="54"/>
      <c r="E48" s="54"/>
      <c r="F48" s="54"/>
    </row>
    <row r="49" spans="1:6" ht="15" customHeight="1">
      <c r="B49" s="47"/>
      <c r="C49" s="47"/>
      <c r="D49" s="47"/>
      <c r="E49" s="47"/>
      <c r="F49" s="47"/>
    </row>
    <row r="50" spans="1:6" ht="15" customHeight="1">
      <c r="A50" s="43"/>
    </row>
    <row r="51" spans="1:6" ht="15" customHeight="1">
      <c r="A51" s="43"/>
    </row>
    <row r="52" spans="1:6" ht="15" customHeight="1">
      <c r="A52" s="43"/>
      <c r="F52" t="s">
        <v>35</v>
      </c>
    </row>
    <row r="53" spans="1:6" ht="15" customHeight="1">
      <c r="A53" s="43"/>
      <c r="F53" s="52" t="s">
        <v>36</v>
      </c>
    </row>
    <row r="54" spans="1:6" ht="15" customHeight="1">
      <c r="F54" s="52" t="s">
        <v>34</v>
      </c>
    </row>
  </sheetData>
  <sheetProtection selectLockedCells="1" selectUnlockedCells="1"/>
  <mergeCells count="7">
    <mergeCell ref="B46:F46"/>
    <mergeCell ref="B47:F47"/>
    <mergeCell ref="B48:F48"/>
    <mergeCell ref="D3:F3"/>
    <mergeCell ref="B7:C7"/>
    <mergeCell ref="D8:E8"/>
    <mergeCell ref="D9:E9"/>
  </mergeCells>
  <hyperlinks>
    <hyperlink ref="F54" r:id="rId1" xr:uid="{0EAC7481-E3BA-4500-ADCE-32E3BA9E1ACD}"/>
    <hyperlink ref="F53" r:id="rId2" xr:uid="{C040DE33-5AFC-4EAB-B326-6C8D6EBA2DB4}"/>
  </hyperlinks>
  <pageMargins left="0.51180555555555596" right="0.51180555555555596" top="0.51180555555555596" bottom="0" header="0.51180555555555596" footer="0.51180555555555596"/>
  <pageSetup paperSize="9" scale="63" firstPageNumber="0" orientation="portrait" useFirstPageNumber="1" horizontalDpi="300" verticalDpi="300" r:id="rId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Facture de service</vt:lpstr>
      <vt:lpstr>'Facture de service'!Zone_d_impression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Chafry, Abdel</dc:creator>
  <cp:lastModifiedBy>mabsout abir</cp:lastModifiedBy>
  <cp:revision>12</cp:revision>
  <cp:lastPrinted>2025-03-26T10:09:55Z</cp:lastPrinted>
  <dcterms:created xsi:type="dcterms:W3CDTF">2000-07-27T22:23:00Z</dcterms:created>
  <dcterms:modified xsi:type="dcterms:W3CDTF">2025-05-27T08:01:37Z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d3f8f285-8771-474d-b5de-1c20dbf02810</vt:lpwstr>
  </property>
  <property fmtid="{D5CDD505-2E9C-101B-9397-08002B2CF9AE}" pid="3" name="_TemplateID">
    <vt:lpwstr>TC062071001036</vt:lpwstr>
  </property>
  <property fmtid="{D5CDD505-2E9C-101B-9397-08002B2CF9AE}" pid="4" name="KSOProductBuildVer">
    <vt:lpwstr>1036-11.2.0.10323</vt:lpwstr>
  </property>
</Properties>
</file>