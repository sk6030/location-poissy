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2ad_tech\ventes\"/>
    </mc:Choice>
  </mc:AlternateContent>
  <xr:revisionPtr revIDLastSave="0" documentId="13_ncr:1_{CD3674EA-1EB5-4626-8F0D-B6BB5A5AE1E5}" xr6:coauthVersionLast="47" xr6:coauthVersionMax="47" xr10:uidLastSave="{00000000-0000-0000-0000-000000000000}"/>
  <bookViews>
    <workbookView xWindow="-110" yWindow="-110" windowWidth="19420" windowHeight="10420" xr2:uid="{A7E32856-096D-4479-921C-A4587B05E59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" i="1" l="1"/>
  <c r="R19" i="1"/>
  <c r="V9" i="1"/>
  <c r="S18" i="1" s="1"/>
  <c r="R18" i="1"/>
  <c r="S19" i="1" l="1"/>
  <c r="T22" i="1" s="1"/>
  <c r="T23" i="1" s="1"/>
</calcChain>
</file>

<file path=xl/sharedStrings.xml><?xml version="1.0" encoding="utf-8"?>
<sst xmlns="http://schemas.openxmlformats.org/spreadsheetml/2006/main" count="104" uniqueCount="63">
  <si>
    <t>N° de facture</t>
  </si>
  <si>
    <t>date de facture</t>
  </si>
  <si>
    <t>date de paiement</t>
  </si>
  <si>
    <t>client</t>
  </si>
  <si>
    <t>mois</t>
  </si>
  <si>
    <t>C F E B SISLEY</t>
  </si>
  <si>
    <t>MOONGY</t>
  </si>
  <si>
    <t>F006</t>
  </si>
  <si>
    <t>F0027</t>
  </si>
  <si>
    <t>montant TTC en €</t>
  </si>
  <si>
    <t>montant HT en €</t>
  </si>
  <si>
    <t>janvier</t>
  </si>
  <si>
    <t>F007</t>
  </si>
  <si>
    <t>F008</t>
  </si>
  <si>
    <t>F0026</t>
  </si>
  <si>
    <t>février</t>
  </si>
  <si>
    <t>F009</t>
  </si>
  <si>
    <t>F0028</t>
  </si>
  <si>
    <t>F0029</t>
  </si>
  <si>
    <t>F0030</t>
  </si>
  <si>
    <t>F0031</t>
  </si>
  <si>
    <t>mars</t>
  </si>
  <si>
    <t>F010</t>
  </si>
  <si>
    <t xml:space="preserve"> Infinity CS</t>
  </si>
  <si>
    <t>F001</t>
  </si>
  <si>
    <t>F011</t>
  </si>
  <si>
    <t>F0032</t>
  </si>
  <si>
    <t>F0033</t>
  </si>
  <si>
    <t>F002</t>
  </si>
  <si>
    <t>mai</t>
  </si>
  <si>
    <t>avril</t>
  </si>
  <si>
    <t>F012</t>
  </si>
  <si>
    <t>SMARTHINKING SOLUTIONS</t>
  </si>
  <si>
    <t>F01</t>
  </si>
  <si>
    <t>juin</t>
  </si>
  <si>
    <t>F02</t>
  </si>
  <si>
    <t>F013</t>
  </si>
  <si>
    <t>juillet</t>
  </si>
  <si>
    <t>F014</t>
  </si>
  <si>
    <t>août</t>
  </si>
  <si>
    <t>septembre</t>
  </si>
  <si>
    <t>F015</t>
  </si>
  <si>
    <t>F016</t>
  </si>
  <si>
    <t xml:space="preserve">novembre </t>
  </si>
  <si>
    <t>F017</t>
  </si>
  <si>
    <t>OCTOBRE</t>
  </si>
  <si>
    <t>FRANK R.G</t>
  </si>
  <si>
    <t>Décembre</t>
  </si>
  <si>
    <t>F018</t>
  </si>
  <si>
    <t>E1P000011718</t>
  </si>
  <si>
    <t>E1P000011653</t>
  </si>
  <si>
    <t>E1P000011794</t>
  </si>
  <si>
    <t>E1P000011680</t>
  </si>
  <si>
    <t>TOTAL 1</t>
  </si>
  <si>
    <t>TOTAL 2</t>
  </si>
  <si>
    <t>TOTAL 1+2</t>
  </si>
  <si>
    <t>HIGHTEAM</t>
  </si>
  <si>
    <t>E1P000011891</t>
  </si>
  <si>
    <t>TOTAL D'ACHATS ET COÛT EMPLOYEUR</t>
  </si>
  <si>
    <t xml:space="preserve">total ventes </t>
  </si>
  <si>
    <t>bénifice</t>
  </si>
  <si>
    <t xml:space="preserve"> E1P000012011</t>
  </si>
  <si>
    <r>
      <rPr>
        <b/>
        <sz val="9"/>
        <color theme="1"/>
        <rFont val="Calibri"/>
        <family val="2"/>
        <scheme val="minor"/>
      </rPr>
      <t>03/02/2025</t>
    </r>
    <r>
      <rPr>
        <sz val="8"/>
        <color theme="1"/>
        <rFont val="Calibri"/>
        <family val="2"/>
        <scheme val="minor"/>
      </rPr>
      <t xml:space="preserve"> (date d'envoi de facture de service en 01/11/2024 )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</si>
</sst>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16" fontId="0" fillId="0" borderId="1" xfId="0" applyNumberFormat="1" applyBorder="1"/>
    <xf numFmtId="0" fontId="0" fillId="0" borderId="0" xfId="0" applyBorder="1"/>
    <xf numFmtId="16" fontId="0" fillId="0" borderId="4" xfId="0" applyNumberFormat="1" applyBorder="1"/>
    <xf numFmtId="16" fontId="0" fillId="0" borderId="8" xfId="0" applyNumberFormat="1" applyBorder="1"/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16" fontId="0" fillId="0" borderId="3" xfId="0" applyNumberFormat="1" applyBorder="1"/>
    <xf numFmtId="0" fontId="0" fillId="0" borderId="10" xfId="0" applyBorder="1" applyAlignment="1">
      <alignment horizontal="right"/>
    </xf>
    <xf numFmtId="16" fontId="0" fillId="0" borderId="11" xfId="0" applyNumberFormat="1" applyBorder="1"/>
    <xf numFmtId="0" fontId="0" fillId="0" borderId="9" xfId="0" applyFill="1" applyBorder="1" applyAlignment="1">
      <alignment horizontal="right"/>
    </xf>
    <xf numFmtId="0" fontId="0" fillId="0" borderId="16" xfId="0" applyBorder="1" applyAlignment="1"/>
    <xf numFmtId="0" fontId="1" fillId="0" borderId="12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/>
    <xf numFmtId="0" fontId="1" fillId="0" borderId="13" xfId="0" applyFont="1" applyBorder="1"/>
    <xf numFmtId="0" fontId="1" fillId="0" borderId="17" xfId="0" applyFont="1" applyBorder="1"/>
    <xf numFmtId="0" fontId="0" fillId="0" borderId="0" xfId="0" applyAlignment="1">
      <alignment vertical="center"/>
    </xf>
    <xf numFmtId="0" fontId="1" fillId="0" borderId="6" xfId="0" applyFont="1" applyBorder="1"/>
    <xf numFmtId="16" fontId="0" fillId="0" borderId="21" xfId="0" applyNumberFormat="1" applyBorder="1" applyAlignment="1">
      <alignment horizontal="center"/>
    </xf>
    <xf numFmtId="16" fontId="0" fillId="0" borderId="20" xfId="0" applyNumberFormat="1" applyBorder="1"/>
    <xf numFmtId="16" fontId="0" fillId="0" borderId="22" xfId="0" applyNumberFormat="1" applyBorder="1"/>
    <xf numFmtId="0" fontId="0" fillId="0" borderId="23" xfId="0" applyBorder="1" applyAlignment="1">
      <alignment horizontal="center"/>
    </xf>
    <xf numFmtId="16" fontId="0" fillId="0" borderId="29" xfId="0" applyNumberFormat="1" applyBorder="1"/>
    <xf numFmtId="0" fontId="0" fillId="0" borderId="30" xfId="0" applyBorder="1" applyAlignment="1">
      <alignment horizontal="right"/>
    </xf>
    <xf numFmtId="0" fontId="1" fillId="0" borderId="31" xfId="0" applyFont="1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1" fillId="0" borderId="28" xfId="0" applyFont="1" applyBorder="1"/>
    <xf numFmtId="0" fontId="3" fillId="0" borderId="31" xfId="0" applyFont="1" applyBorder="1" applyAlignment="1">
      <alignment horizontal="center"/>
    </xf>
    <xf numFmtId="0" fontId="1" fillId="0" borderId="31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50" xfId="0" applyFont="1" applyBorder="1"/>
    <xf numFmtId="0" fontId="1" fillId="0" borderId="31" xfId="0" applyFont="1" applyFill="1" applyBorder="1" applyAlignment="1">
      <alignment horizontal="center" vertical="center"/>
    </xf>
    <xf numFmtId="0" fontId="0" fillId="2" borderId="31" xfId="0" applyFill="1" applyBorder="1"/>
    <xf numFmtId="4" fontId="0" fillId="3" borderId="31" xfId="0" applyNumberFormat="1" applyFill="1" applyBorder="1"/>
    <xf numFmtId="4" fontId="0" fillId="4" borderId="31" xfId="0" applyNumberFormat="1" applyFill="1" applyBorder="1"/>
    <xf numFmtId="0" fontId="1" fillId="4" borderId="31" xfId="0" applyFont="1" applyFill="1" applyBorder="1"/>
    <xf numFmtId="0" fontId="1" fillId="3" borderId="31" xfId="0" applyFont="1" applyFill="1" applyBorder="1"/>
    <xf numFmtId="4" fontId="0" fillId="3" borderId="3" xfId="0" applyNumberFormat="1" applyFill="1" applyBorder="1"/>
    <xf numFmtId="0" fontId="0" fillId="3" borderId="8" xfId="0" applyFill="1" applyBorder="1"/>
    <xf numFmtId="4" fontId="0" fillId="3" borderId="4" xfId="0" applyNumberFormat="1" applyFill="1" applyBorder="1"/>
    <xf numFmtId="4" fontId="0" fillId="3" borderId="1" xfId="0" applyNumberFormat="1" applyFill="1" applyBorder="1"/>
    <xf numFmtId="0" fontId="0" fillId="3" borderId="1" xfId="0" applyFill="1" applyBorder="1"/>
    <xf numFmtId="4" fontId="0" fillId="3" borderId="8" xfId="0" applyNumberFormat="1" applyFill="1" applyBorder="1"/>
    <xf numFmtId="4" fontId="0" fillId="4" borderId="44" xfId="0" applyNumberFormat="1" applyFill="1" applyBorder="1"/>
    <xf numFmtId="4" fontId="0" fillId="4" borderId="49" xfId="0" applyNumberFormat="1" applyFill="1" applyBorder="1"/>
    <xf numFmtId="4" fontId="0" fillId="4" borderId="48" xfId="0" applyNumberFormat="1" applyFill="1" applyBorder="1"/>
    <xf numFmtId="0" fontId="0" fillId="4" borderId="48" xfId="0" applyFill="1" applyBorder="1"/>
    <xf numFmtId="4" fontId="0" fillId="4" borderId="46" xfId="0" applyNumberFormat="1" applyFill="1" applyBorder="1"/>
    <xf numFmtId="4" fontId="0" fillId="4" borderId="42" xfId="0" applyNumberFormat="1" applyFill="1" applyBorder="1"/>
    <xf numFmtId="4" fontId="0" fillId="4" borderId="47" xfId="0" applyNumberFormat="1" applyFill="1" applyBorder="1"/>
    <xf numFmtId="0" fontId="0" fillId="5" borderId="0" xfId="0" applyFill="1"/>
    <xf numFmtId="4" fontId="0" fillId="3" borderId="11" xfId="0" applyNumberFormat="1" applyFont="1" applyFill="1" applyBorder="1"/>
    <xf numFmtId="0" fontId="0" fillId="3" borderId="8" xfId="0" applyFont="1" applyFill="1" applyBorder="1"/>
    <xf numFmtId="0" fontId="0" fillId="3" borderId="29" xfId="0" applyFont="1" applyFill="1" applyBorder="1"/>
    <xf numFmtId="4" fontId="0" fillId="3" borderId="21" xfId="0" applyNumberFormat="1" applyFont="1" applyFill="1" applyBorder="1"/>
    <xf numFmtId="4" fontId="0" fillId="3" borderId="24" xfId="0" applyNumberFormat="1" applyFont="1" applyFill="1" applyBorder="1"/>
    <xf numFmtId="4" fontId="0" fillId="4" borderId="45" xfId="0" applyNumberFormat="1" applyFill="1" applyBorder="1" applyAlignment="1">
      <alignment horizontal="right" wrapText="1"/>
    </xf>
    <xf numFmtId="0" fontId="0" fillId="4" borderId="42" xfId="0" applyFill="1" applyBorder="1"/>
    <xf numFmtId="4" fontId="0" fillId="4" borderId="41" xfId="0" applyNumberFormat="1" applyFill="1" applyBorder="1" applyAlignment="1">
      <alignment horizontal="right" wrapText="1"/>
    </xf>
    <xf numFmtId="0" fontId="0" fillId="4" borderId="39" xfId="0" applyFill="1" applyBorder="1"/>
    <xf numFmtId="4" fontId="0" fillId="4" borderId="22" xfId="0" applyNumberFormat="1" applyFill="1" applyBorder="1"/>
    <xf numFmtId="4" fontId="0" fillId="4" borderId="38" xfId="0" applyNumberFormat="1" applyFill="1" applyBorder="1"/>
    <xf numFmtId="4" fontId="1" fillId="3" borderId="31" xfId="0" applyNumberFormat="1" applyFont="1" applyFill="1" applyBorder="1"/>
    <xf numFmtId="4" fontId="1" fillId="4" borderId="31" xfId="0" applyNumberFormat="1" applyFont="1" applyFill="1" applyBorder="1"/>
    <xf numFmtId="16" fontId="0" fillId="0" borderId="11" xfId="0" applyNumberFormat="1" applyBorder="1" applyAlignment="1"/>
    <xf numFmtId="0" fontId="0" fillId="0" borderId="53" xfId="0" applyFill="1" applyBorder="1" applyAlignment="1">
      <alignment horizontal="right"/>
    </xf>
    <xf numFmtId="16" fontId="0" fillId="0" borderId="25" xfId="0" applyNumberFormat="1" applyBorder="1"/>
    <xf numFmtId="4" fontId="0" fillId="3" borderId="25" xfId="0" applyNumberFormat="1" applyFill="1" applyBorder="1"/>
    <xf numFmtId="0" fontId="0" fillId="0" borderId="51" xfId="0" applyFill="1" applyBorder="1" applyAlignment="1">
      <alignment horizontal="right"/>
    </xf>
    <xf numFmtId="16" fontId="0" fillId="0" borderId="16" xfId="0" applyNumberFormat="1" applyBorder="1"/>
    <xf numFmtId="4" fontId="0" fillId="3" borderId="16" xfId="0" applyNumberFormat="1" applyFill="1" applyBorder="1"/>
    <xf numFmtId="4" fontId="0" fillId="4" borderId="32" xfId="0" applyNumberFormat="1" applyFill="1" applyBorder="1"/>
    <xf numFmtId="0" fontId="0" fillId="0" borderId="54" xfId="0" applyFill="1" applyBorder="1" applyAlignment="1">
      <alignment horizontal="right"/>
    </xf>
    <xf numFmtId="0" fontId="0" fillId="3" borderId="20" xfId="0" applyFill="1" applyBorder="1"/>
    <xf numFmtId="0" fontId="0" fillId="4" borderId="40" xfId="0" applyFill="1" applyBorder="1"/>
    <xf numFmtId="0" fontId="0" fillId="0" borderId="53" xfId="0" applyBorder="1" applyAlignment="1">
      <alignment horizontal="right"/>
    </xf>
    <xf numFmtId="0" fontId="0" fillId="0" borderId="51" xfId="0" applyBorder="1" applyAlignment="1">
      <alignment horizontal="right"/>
    </xf>
    <xf numFmtId="0" fontId="0" fillId="3" borderId="11" xfId="0" applyFill="1" applyBorder="1" applyAlignment="1">
      <alignment horizontal="right"/>
    </xf>
    <xf numFmtId="0" fontId="0" fillId="4" borderId="45" xfId="0" applyFill="1" applyBorder="1" applyAlignment="1">
      <alignment horizontal="right"/>
    </xf>
    <xf numFmtId="4" fontId="0" fillId="3" borderId="25" xfId="0" applyNumberFormat="1" applyFont="1" applyFill="1" applyBorder="1"/>
    <xf numFmtId="4" fontId="0" fillId="4" borderId="38" xfId="0" applyNumberFormat="1" applyFill="1" applyBorder="1" applyAlignment="1">
      <alignment horizontal="right" wrapText="1"/>
    </xf>
    <xf numFmtId="0" fontId="0" fillId="3" borderId="16" xfId="0" applyFont="1" applyFill="1" applyBorder="1"/>
    <xf numFmtId="0" fontId="0" fillId="4" borderId="32" xfId="0" applyFill="1" applyBorder="1"/>
    <xf numFmtId="0" fontId="0" fillId="2" borderId="55" xfId="0" applyFill="1" applyBorder="1"/>
    <xf numFmtId="4" fontId="0" fillId="3" borderId="55" xfId="0" applyNumberFormat="1" applyFill="1" applyBorder="1"/>
    <xf numFmtId="4" fontId="0" fillId="4" borderId="55" xfId="0" applyNumberFormat="1" applyFill="1" applyBorder="1"/>
    <xf numFmtId="0" fontId="0" fillId="0" borderId="52" xfId="0" applyBorder="1" applyAlignment="1">
      <alignment horizontal="center"/>
    </xf>
    <xf numFmtId="0" fontId="0" fillId="3" borderId="56" xfId="0" applyFont="1" applyFill="1" applyBorder="1"/>
    <xf numFmtId="0" fontId="0" fillId="4" borderId="56" xfId="0" applyFill="1" applyBorder="1"/>
    <xf numFmtId="16" fontId="0" fillId="0" borderId="14" xfId="0" applyNumberFormat="1" applyBorder="1"/>
    <xf numFmtId="0" fontId="0" fillId="0" borderId="57" xfId="0" applyBorder="1" applyAlignment="1">
      <alignment horizontal="center"/>
    </xf>
    <xf numFmtId="4" fontId="0" fillId="4" borderId="58" xfId="0" applyNumberFormat="1" applyFill="1" applyBorder="1"/>
    <xf numFmtId="4" fontId="0" fillId="3" borderId="35" xfId="0" applyNumberFormat="1" applyFill="1" applyBorder="1"/>
    <xf numFmtId="0" fontId="0" fillId="0" borderId="10" xfId="0" applyBorder="1"/>
    <xf numFmtId="16" fontId="0" fillId="0" borderId="26" xfId="0" applyNumberFormat="1" applyBorder="1"/>
    <xf numFmtId="2" fontId="0" fillId="4" borderId="19" xfId="0" applyNumberFormat="1" applyFill="1" applyBorder="1" applyAlignment="1">
      <alignment horizontal="right" wrapText="1"/>
    </xf>
    <xf numFmtId="16" fontId="0" fillId="0" borderId="56" xfId="0" applyNumberFormat="1" applyBorder="1"/>
    <xf numFmtId="0" fontId="0" fillId="0" borderId="1" xfId="0" applyBorder="1"/>
    <xf numFmtId="0" fontId="0" fillId="0" borderId="51" xfId="0" applyBorder="1" applyAlignment="1">
      <alignment horizontal="right"/>
    </xf>
    <xf numFmtId="0" fontId="3" fillId="0" borderId="31" xfId="0" applyFont="1" applyBorder="1" applyAlignment="1">
      <alignment horizontal="center" vertical="center"/>
    </xf>
    <xf numFmtId="14" fontId="0" fillId="0" borderId="21" xfId="0" applyNumberFormat="1" applyBorder="1"/>
    <xf numFmtId="14" fontId="0" fillId="0" borderId="25" xfId="0" applyNumberFormat="1" applyBorder="1"/>
    <xf numFmtId="14" fontId="0" fillId="0" borderId="36" xfId="0" applyNumberFormat="1" applyBorder="1"/>
    <xf numFmtId="0" fontId="1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/>
    </xf>
    <xf numFmtId="16" fontId="0" fillId="0" borderId="11" xfId="0" applyNumberFormat="1" applyBorder="1" applyAlignment="1">
      <alignment horizontal="center"/>
    </xf>
    <xf numFmtId="16" fontId="0" fillId="0" borderId="1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16" fontId="0" fillId="0" borderId="18" xfId="0" applyNumberFormat="1" applyBorder="1" applyAlignment="1">
      <alignment horizontal="center"/>
    </xf>
    <xf numFmtId="4" fontId="0" fillId="4" borderId="45" xfId="0" applyNumberFormat="1" applyFill="1" applyBorder="1" applyAlignment="1">
      <alignment horizontal="right"/>
    </xf>
    <xf numFmtId="4" fontId="0" fillId="4" borderId="43" xfId="0" applyNumberFormat="1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51" xfId="0" applyFill="1" applyBorder="1" applyAlignment="1">
      <alignment horizontal="right"/>
    </xf>
    <xf numFmtId="16" fontId="0" fillId="0" borderId="11" xfId="0" applyNumberFormat="1" applyBorder="1" applyAlignment="1">
      <alignment horizontal="right"/>
    </xf>
    <xf numFmtId="16" fontId="0" fillId="0" borderId="16" xfId="0" applyNumberFormat="1" applyBorder="1" applyAlignment="1">
      <alignment horizontal="right"/>
    </xf>
    <xf numFmtId="4" fontId="0" fillId="3" borderId="11" xfId="0" applyNumberFormat="1" applyFont="1" applyFill="1" applyBorder="1" applyAlignment="1">
      <alignment horizontal="right"/>
    </xf>
    <xf numFmtId="4" fontId="0" fillId="3" borderId="16" xfId="0" applyNumberFormat="1" applyFont="1" applyFill="1" applyBorder="1" applyAlignment="1">
      <alignment horizontal="right"/>
    </xf>
    <xf numFmtId="16" fontId="0" fillId="0" borderId="11" xfId="0" applyNumberFormat="1" applyBorder="1" applyAlignment="1"/>
    <xf numFmtId="16" fontId="0" fillId="0" borderId="16" xfId="0" applyNumberFormat="1" applyBorder="1" applyAlignment="1"/>
    <xf numFmtId="0" fontId="4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1" xfId="0" applyFill="1" applyBorder="1" applyAlignment="1">
      <alignment horizontal="center"/>
    </xf>
    <xf numFmtId="4" fontId="0" fillId="3" borderId="11" xfId="0" applyNumberFormat="1" applyFill="1" applyBorder="1" applyAlignment="1">
      <alignment horizontal="center"/>
    </xf>
    <xf numFmtId="4" fontId="0" fillId="3" borderId="16" xfId="0" applyNumberFormat="1" applyFill="1" applyBorder="1" applyAlignment="1">
      <alignment horizontal="center"/>
    </xf>
    <xf numFmtId="4" fontId="0" fillId="4" borderId="37" xfId="0" applyNumberFormat="1" applyFill="1" applyBorder="1" applyAlignment="1">
      <alignment horizontal="center"/>
    </xf>
    <xf numFmtId="4" fontId="0" fillId="4" borderId="32" xfId="0" applyNumberFormat="1" applyFill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0" fillId="3" borderId="26" xfId="0" applyFont="1" applyFill="1" applyBorder="1"/>
    <xf numFmtId="0" fontId="0" fillId="3" borderId="16" xfId="0" applyFont="1" applyFill="1" applyBorder="1"/>
    <xf numFmtId="0" fontId="0" fillId="4" borderId="27" xfId="0" applyFill="1" applyBorder="1"/>
    <xf numFmtId="0" fontId="0" fillId="4" borderId="32" xfId="0" applyFill="1" applyBorder="1"/>
    <xf numFmtId="0" fontId="0" fillId="0" borderId="52" xfId="0" applyBorder="1" applyAlignment="1">
      <alignment horizontal="right"/>
    </xf>
    <xf numFmtId="0" fontId="0" fillId="0" borderId="51" xfId="0" applyBorder="1" applyAlignment="1">
      <alignment horizontal="right"/>
    </xf>
    <xf numFmtId="16" fontId="0" fillId="0" borderId="26" xfId="0" applyNumberFormat="1" applyBorder="1"/>
    <xf numFmtId="0" fontId="0" fillId="0" borderId="16" xfId="0" applyBorder="1"/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0" borderId="59" xfId="0" applyFont="1" applyBorder="1" applyAlignment="1">
      <alignment horizontal="center" vertical="center"/>
    </xf>
    <xf numFmtId="16" fontId="7" fillId="0" borderId="16" xfId="0" applyNumberFormat="1" applyFont="1" applyBorder="1" applyAlignment="1">
      <alignment wrapText="1"/>
    </xf>
    <xf numFmtId="2" fontId="0" fillId="4" borderId="60" xfId="0" applyNumberFormat="1" applyFill="1" applyBorder="1" applyAlignment="1">
      <alignment horizontal="right" wrapText="1"/>
    </xf>
    <xf numFmtId="0" fontId="3" fillId="0" borderId="5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1" fillId="0" borderId="50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16" fontId="0" fillId="0" borderId="26" xfId="0" applyNumberFormat="1" applyBorder="1" applyAlignment="1">
      <alignment horizontal="center"/>
    </xf>
    <xf numFmtId="4" fontId="0" fillId="3" borderId="26" xfId="0" applyNumberFormat="1" applyFill="1" applyBorder="1" applyAlignment="1">
      <alignment horizontal="center"/>
    </xf>
    <xf numFmtId="4" fontId="0" fillId="4" borderId="26" xfId="0" applyNumberFormat="1" applyFill="1" applyBorder="1" applyAlignment="1">
      <alignment horizontal="center"/>
    </xf>
    <xf numFmtId="4" fontId="0" fillId="4" borderId="16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52AB-407C-43DC-BBD8-646A3D7DEFEE}">
  <dimension ref="A2:V24"/>
  <sheetViews>
    <sheetView tabSelected="1" topLeftCell="L7" zoomScale="75" zoomScaleNormal="75" workbookViewId="0">
      <selection activeCell="K2" sqref="K2"/>
    </sheetView>
  </sheetViews>
  <sheetFormatPr baseColWidth="10" defaultRowHeight="14.5" x14ac:dyDescent="0.35"/>
  <cols>
    <col min="1" max="1" width="16.54296875" customWidth="1"/>
    <col min="2" max="2" width="23.90625" customWidth="1"/>
    <col min="3" max="3" width="16.36328125" customWidth="1"/>
    <col min="4" max="4" width="20.81640625" customWidth="1"/>
    <col min="5" max="5" width="22.26953125" customWidth="1"/>
    <col min="6" max="6" width="24.36328125" customWidth="1"/>
    <col min="7" max="7" width="19.36328125" customWidth="1"/>
    <col min="8" max="8" width="19.453125" customWidth="1"/>
    <col min="9" max="9" width="18.7265625" customWidth="1"/>
    <col min="10" max="10" width="19.08984375" customWidth="1"/>
    <col min="11" max="11" width="20.453125" customWidth="1"/>
    <col min="12" max="12" width="20.81640625" customWidth="1"/>
    <col min="13" max="14" width="18.90625" customWidth="1"/>
    <col min="15" max="15" width="27" customWidth="1"/>
    <col min="16" max="16" width="29.7265625" customWidth="1"/>
    <col min="17" max="17" width="22.54296875" customWidth="1"/>
    <col min="18" max="18" width="22.453125" customWidth="1"/>
    <col min="19" max="19" width="26.7265625" customWidth="1"/>
    <col min="21" max="21" width="16.08984375" customWidth="1"/>
    <col min="22" max="22" width="19.7265625" customWidth="1"/>
  </cols>
  <sheetData>
    <row r="2" spans="1:22" ht="18" customHeight="1" x14ac:dyDescent="0.35">
      <c r="D2" s="20"/>
    </row>
    <row r="3" spans="1:22" ht="15" customHeight="1" thickBot="1" x14ac:dyDescent="0.4">
      <c r="A3" s="2"/>
      <c r="G3" s="2"/>
      <c r="H3" s="2"/>
    </row>
    <row r="4" spans="1:22" ht="24.5" customHeight="1" thickTop="1" thickBot="1" x14ac:dyDescent="0.55000000000000004">
      <c r="A4" s="28" t="s">
        <v>4</v>
      </c>
      <c r="B4" s="110" t="s">
        <v>11</v>
      </c>
      <c r="C4" s="110"/>
      <c r="D4" s="110"/>
      <c r="E4" s="110" t="s">
        <v>15</v>
      </c>
      <c r="F4" s="110"/>
      <c r="G4" s="110" t="s">
        <v>21</v>
      </c>
      <c r="H4" s="114"/>
      <c r="I4" s="114"/>
      <c r="J4" s="114"/>
      <c r="K4" s="114"/>
      <c r="L4" s="150" t="s">
        <v>30</v>
      </c>
      <c r="M4" s="151"/>
      <c r="N4" s="152"/>
      <c r="O4" s="126" t="s">
        <v>29</v>
      </c>
      <c r="P4" s="127"/>
      <c r="Q4" s="127"/>
      <c r="R4" s="127"/>
      <c r="S4" s="110" t="s">
        <v>34</v>
      </c>
      <c r="T4" s="128"/>
      <c r="U4" s="128"/>
    </row>
    <row r="5" spans="1:22" ht="22.5" customHeight="1" thickTop="1" thickBot="1" x14ac:dyDescent="0.4">
      <c r="A5" s="28" t="s">
        <v>3</v>
      </c>
      <c r="B5" s="34" t="s">
        <v>5</v>
      </c>
      <c r="C5" s="109" t="s">
        <v>6</v>
      </c>
      <c r="D5" s="109"/>
      <c r="E5" s="109" t="s">
        <v>5</v>
      </c>
      <c r="F5" s="109"/>
      <c r="G5" s="35" t="s">
        <v>5</v>
      </c>
      <c r="H5" s="113" t="s">
        <v>6</v>
      </c>
      <c r="I5" s="113"/>
      <c r="J5" s="113"/>
      <c r="K5" s="113"/>
      <c r="L5" s="34" t="s">
        <v>5</v>
      </c>
      <c r="M5" s="153" t="s">
        <v>23</v>
      </c>
      <c r="N5" s="154"/>
      <c r="O5" s="34" t="s">
        <v>5</v>
      </c>
      <c r="P5" s="113" t="s">
        <v>6</v>
      </c>
      <c r="Q5" s="113"/>
      <c r="R5" s="35" t="s">
        <v>23</v>
      </c>
      <c r="S5" s="34" t="s">
        <v>5</v>
      </c>
      <c r="T5" s="113" t="s">
        <v>32</v>
      </c>
      <c r="U5" s="113"/>
    </row>
    <row r="6" spans="1:22" ht="15.5" thickTop="1" thickBot="1" x14ac:dyDescent="0.4">
      <c r="A6" s="28" t="s">
        <v>0</v>
      </c>
      <c r="B6" s="81" t="s">
        <v>7</v>
      </c>
      <c r="C6" s="10" t="s">
        <v>8</v>
      </c>
      <c r="D6" s="7" t="s">
        <v>14</v>
      </c>
      <c r="E6" s="5" t="s">
        <v>12</v>
      </c>
      <c r="F6" s="6" t="s">
        <v>13</v>
      </c>
      <c r="G6" s="81" t="s">
        <v>16</v>
      </c>
      <c r="H6" s="8" t="s">
        <v>17</v>
      </c>
      <c r="I6" s="6" t="s">
        <v>18</v>
      </c>
      <c r="J6" s="6" t="s">
        <v>19</v>
      </c>
      <c r="K6" s="7" t="s">
        <v>20</v>
      </c>
      <c r="L6" s="81" t="s">
        <v>22</v>
      </c>
      <c r="M6" s="155" t="s">
        <v>24</v>
      </c>
      <c r="N6" s="156"/>
      <c r="O6" s="81" t="s">
        <v>25</v>
      </c>
      <c r="P6" s="12" t="s">
        <v>26</v>
      </c>
      <c r="Q6" s="78" t="s">
        <v>27</v>
      </c>
      <c r="R6" s="74" t="s">
        <v>28</v>
      </c>
      <c r="S6" s="71" t="s">
        <v>31</v>
      </c>
      <c r="T6" s="129" t="s">
        <v>33</v>
      </c>
      <c r="U6" s="130"/>
    </row>
    <row r="7" spans="1:22" ht="15.5" thickTop="1" thickBot="1" x14ac:dyDescent="0.4">
      <c r="A7" s="28" t="s">
        <v>1</v>
      </c>
      <c r="B7" s="72">
        <v>45322</v>
      </c>
      <c r="C7" s="11">
        <v>45297</v>
      </c>
      <c r="D7" s="4">
        <v>45328</v>
      </c>
      <c r="E7" s="3">
        <v>45351</v>
      </c>
      <c r="F7" s="1">
        <v>45351</v>
      </c>
      <c r="G7" s="72">
        <v>45379</v>
      </c>
      <c r="H7" s="9">
        <v>45357</v>
      </c>
      <c r="I7" s="1">
        <v>45357</v>
      </c>
      <c r="J7" s="1">
        <v>45379</v>
      </c>
      <c r="K7" s="4">
        <v>45379</v>
      </c>
      <c r="L7" s="72">
        <v>45412</v>
      </c>
      <c r="M7" s="157">
        <v>45412</v>
      </c>
      <c r="N7" s="112"/>
      <c r="O7" s="72">
        <v>45443</v>
      </c>
      <c r="P7" s="9">
        <v>45415</v>
      </c>
      <c r="Q7" s="23">
        <v>45415</v>
      </c>
      <c r="R7" s="75">
        <v>45443</v>
      </c>
      <c r="S7" s="72">
        <v>45473</v>
      </c>
      <c r="T7" s="111">
        <v>45473</v>
      </c>
      <c r="U7" s="112"/>
    </row>
    <row r="8" spans="1:22" ht="19.5" customHeight="1" thickTop="1" thickBot="1" x14ac:dyDescent="0.4">
      <c r="A8" s="28" t="s">
        <v>2</v>
      </c>
      <c r="B8" s="72">
        <v>45369</v>
      </c>
      <c r="C8" s="11">
        <v>45384</v>
      </c>
      <c r="D8" s="4">
        <v>45384</v>
      </c>
      <c r="E8" s="115">
        <v>45400</v>
      </c>
      <c r="F8" s="112"/>
      <c r="G8" s="72">
        <v>45436</v>
      </c>
      <c r="H8" s="111">
        <v>45411</v>
      </c>
      <c r="I8" s="111"/>
      <c r="J8" s="111"/>
      <c r="K8" s="112"/>
      <c r="L8" s="72">
        <v>45456</v>
      </c>
      <c r="M8" s="157">
        <v>45453</v>
      </c>
      <c r="N8" s="112"/>
      <c r="O8" s="72">
        <v>45485</v>
      </c>
      <c r="P8" s="9">
        <v>45447</v>
      </c>
      <c r="Q8" s="23">
        <v>45447</v>
      </c>
      <c r="R8" s="75">
        <v>45482</v>
      </c>
      <c r="S8" s="72">
        <v>45509</v>
      </c>
      <c r="T8" s="70">
        <v>45527</v>
      </c>
      <c r="U8" s="13"/>
      <c r="V8" s="38" t="s">
        <v>53</v>
      </c>
    </row>
    <row r="9" spans="1:22" s="56" customFormat="1" ht="37.5" customHeight="1" thickTop="1" thickBot="1" x14ac:dyDescent="0.4">
      <c r="A9" s="42" t="s">
        <v>10</v>
      </c>
      <c r="B9" s="73">
        <v>7840</v>
      </c>
      <c r="C9" s="83">
        <v>611.70000000000005</v>
      </c>
      <c r="D9" s="44">
        <v>10250</v>
      </c>
      <c r="E9" s="45">
        <v>5600</v>
      </c>
      <c r="F9" s="46">
        <v>5355</v>
      </c>
      <c r="G9" s="73">
        <v>13230</v>
      </c>
      <c r="H9" s="43">
        <v>10000</v>
      </c>
      <c r="I9" s="47">
        <v>846.28</v>
      </c>
      <c r="J9" s="46">
        <v>9250</v>
      </c>
      <c r="K9" s="48">
        <v>688.91</v>
      </c>
      <c r="L9" s="73">
        <v>13230</v>
      </c>
      <c r="M9" s="158">
        <v>10500</v>
      </c>
      <c r="N9" s="132"/>
      <c r="O9" s="73">
        <v>10080</v>
      </c>
      <c r="P9" s="43">
        <v>10000</v>
      </c>
      <c r="Q9" s="79">
        <v>890.58</v>
      </c>
      <c r="R9" s="76">
        <v>9500</v>
      </c>
      <c r="S9" s="73">
        <v>12600</v>
      </c>
      <c r="T9" s="131">
        <v>6000</v>
      </c>
      <c r="U9" s="132"/>
      <c r="V9" s="39">
        <f>SUM(B9:U9)</f>
        <v>136472.47</v>
      </c>
    </row>
    <row r="10" spans="1:22" s="56" customFormat="1" ht="15.5" thickTop="1" thickBot="1" x14ac:dyDescent="0.4">
      <c r="A10" s="41" t="s">
        <v>9</v>
      </c>
      <c r="B10" s="67">
        <v>9408</v>
      </c>
      <c r="C10" s="84">
        <v>611.70000000000005</v>
      </c>
      <c r="D10" s="101">
        <v>12300</v>
      </c>
      <c r="E10" s="50">
        <v>6720</v>
      </c>
      <c r="F10" s="51">
        <v>6426</v>
      </c>
      <c r="G10" s="67">
        <v>15876</v>
      </c>
      <c r="H10" s="49">
        <v>12000</v>
      </c>
      <c r="I10" s="52">
        <v>846.28</v>
      </c>
      <c r="J10" s="53">
        <v>11100</v>
      </c>
      <c r="K10" s="54">
        <v>688.91</v>
      </c>
      <c r="L10" s="86">
        <v>15876</v>
      </c>
      <c r="M10" s="159">
        <v>12600</v>
      </c>
      <c r="N10" s="160"/>
      <c r="O10" s="67">
        <v>12096</v>
      </c>
      <c r="P10" s="55">
        <v>12000</v>
      </c>
      <c r="Q10" s="80">
        <v>890.58</v>
      </c>
      <c r="R10" s="77">
        <v>11400</v>
      </c>
      <c r="S10" s="67">
        <v>15120</v>
      </c>
      <c r="T10" s="133">
        <v>7200</v>
      </c>
      <c r="U10" s="134"/>
      <c r="V10" s="40">
        <f>SUM(B10:U10)</f>
        <v>163159.47</v>
      </c>
    </row>
    <row r="11" spans="1:22" ht="15" thickTop="1" x14ac:dyDescent="0.35">
      <c r="A11" s="17"/>
      <c r="B11" s="30"/>
      <c r="C11" s="30"/>
      <c r="D11" s="30"/>
      <c r="E11" s="30"/>
      <c r="F11" s="30"/>
      <c r="G11" s="30"/>
      <c r="H11" s="30"/>
      <c r="I11" s="30"/>
      <c r="L11" s="30"/>
      <c r="M11" s="2"/>
      <c r="N11" s="2"/>
      <c r="T11" s="2"/>
    </row>
    <row r="12" spans="1:22" ht="15" thickBot="1" x14ac:dyDescent="0.4">
      <c r="A12" s="17"/>
      <c r="D12" s="2"/>
      <c r="E12" s="2"/>
      <c r="F12" s="2"/>
      <c r="G12" s="2"/>
    </row>
    <row r="13" spans="1:22" ht="29.5" customHeight="1" thickTop="1" thickBot="1" x14ac:dyDescent="0.5">
      <c r="A13" s="36" t="s">
        <v>4</v>
      </c>
      <c r="B13" s="110" t="s">
        <v>37</v>
      </c>
      <c r="C13" s="110"/>
      <c r="D13" s="110"/>
      <c r="E13" s="33" t="s">
        <v>39</v>
      </c>
      <c r="F13" s="110" t="s">
        <v>40</v>
      </c>
      <c r="G13" s="110"/>
      <c r="H13" s="110" t="s">
        <v>45</v>
      </c>
      <c r="I13" s="110"/>
      <c r="J13" s="29"/>
      <c r="K13" s="135" t="s">
        <v>43</v>
      </c>
      <c r="L13" s="135"/>
      <c r="M13" s="135"/>
      <c r="N13" s="105"/>
      <c r="O13" s="135" t="s">
        <v>47</v>
      </c>
      <c r="P13" s="135"/>
      <c r="Q13" s="2"/>
    </row>
    <row r="14" spans="1:22" ht="23" customHeight="1" thickTop="1" thickBot="1" x14ac:dyDescent="0.4">
      <c r="A14" s="32" t="s">
        <v>3</v>
      </c>
      <c r="B14" s="34" t="s">
        <v>5</v>
      </c>
      <c r="C14" s="113" t="s">
        <v>32</v>
      </c>
      <c r="D14" s="113"/>
      <c r="E14" s="35" t="s">
        <v>5</v>
      </c>
      <c r="F14" s="35" t="s">
        <v>5</v>
      </c>
      <c r="G14" s="37" t="s">
        <v>46</v>
      </c>
      <c r="H14" s="35" t="s">
        <v>5</v>
      </c>
      <c r="I14" s="136" t="s">
        <v>46</v>
      </c>
      <c r="J14" s="136"/>
      <c r="K14" s="35" t="s">
        <v>5</v>
      </c>
      <c r="L14" s="109" t="s">
        <v>46</v>
      </c>
      <c r="M14" s="109"/>
      <c r="N14" s="147" t="s">
        <v>46</v>
      </c>
      <c r="O14" s="35" t="s">
        <v>5</v>
      </c>
      <c r="P14" s="35" t="s">
        <v>46</v>
      </c>
      <c r="Q14" s="35" t="s">
        <v>56</v>
      </c>
    </row>
    <row r="15" spans="1:22" ht="27.5" customHeight="1" thickTop="1" thickBot="1" x14ac:dyDescent="0.4">
      <c r="A15" s="28" t="s">
        <v>0</v>
      </c>
      <c r="B15" s="81" t="s">
        <v>36</v>
      </c>
      <c r="C15" s="118" t="s">
        <v>35</v>
      </c>
      <c r="D15" s="119"/>
      <c r="E15" s="10" t="s">
        <v>38</v>
      </c>
      <c r="F15" s="81" t="s">
        <v>41</v>
      </c>
      <c r="G15" s="82" t="s">
        <v>50</v>
      </c>
      <c r="H15" s="10" t="s">
        <v>42</v>
      </c>
      <c r="I15" s="27" t="s">
        <v>52</v>
      </c>
      <c r="J15" s="7" t="s">
        <v>49</v>
      </c>
      <c r="K15" s="25" t="s">
        <v>44</v>
      </c>
      <c r="L15" s="141" t="s">
        <v>51</v>
      </c>
      <c r="M15" s="142"/>
      <c r="N15" s="104" t="s">
        <v>61</v>
      </c>
      <c r="O15" s="25" t="s">
        <v>48</v>
      </c>
      <c r="P15" s="92" t="s">
        <v>57</v>
      </c>
      <c r="Q15" s="96" t="s">
        <v>24</v>
      </c>
    </row>
    <row r="16" spans="1:22" ht="24" customHeight="1" thickTop="1" thickBot="1" x14ac:dyDescent="0.4">
      <c r="A16" s="28" t="s">
        <v>1</v>
      </c>
      <c r="B16" s="72">
        <v>45504</v>
      </c>
      <c r="C16" s="120">
        <v>45504</v>
      </c>
      <c r="D16" s="121"/>
      <c r="E16" s="11">
        <v>45535</v>
      </c>
      <c r="F16" s="72">
        <v>45562</v>
      </c>
      <c r="G16" s="75">
        <v>45565</v>
      </c>
      <c r="H16" s="11">
        <v>45594</v>
      </c>
      <c r="I16" s="26">
        <v>45596</v>
      </c>
      <c r="J16" s="4">
        <v>45596</v>
      </c>
      <c r="K16" s="22">
        <v>45624</v>
      </c>
      <c r="L16" s="143">
        <v>45626</v>
      </c>
      <c r="M16" s="144"/>
      <c r="N16" s="148" t="s">
        <v>62</v>
      </c>
      <c r="O16" s="24">
        <v>45652</v>
      </c>
      <c r="P16" s="100">
        <v>45648</v>
      </c>
      <c r="Q16" s="95">
        <v>45649</v>
      </c>
      <c r="T16" s="2"/>
      <c r="U16" s="2"/>
    </row>
    <row r="17" spans="1:21" ht="25.5" customHeight="1" thickTop="1" thickBot="1" x14ac:dyDescent="0.4">
      <c r="A17" s="28" t="s">
        <v>2</v>
      </c>
      <c r="B17" s="72">
        <v>45555</v>
      </c>
      <c r="C17" s="124">
        <v>45527</v>
      </c>
      <c r="D17" s="125"/>
      <c r="E17" s="11">
        <v>45589</v>
      </c>
      <c r="F17" s="72">
        <v>45968</v>
      </c>
      <c r="G17" s="75">
        <v>45975</v>
      </c>
      <c r="H17" s="11">
        <v>46011</v>
      </c>
      <c r="I17" s="26">
        <v>45975</v>
      </c>
      <c r="J17" s="4">
        <v>46004</v>
      </c>
      <c r="K17" s="106">
        <v>45670</v>
      </c>
      <c r="L17" s="143">
        <v>46004</v>
      </c>
      <c r="M17" s="144"/>
      <c r="N17" s="75">
        <v>45702</v>
      </c>
      <c r="O17" s="107">
        <v>45688</v>
      </c>
      <c r="P17" s="102">
        <v>45671</v>
      </c>
      <c r="Q17" s="108">
        <v>45688</v>
      </c>
      <c r="R17" s="89" t="s">
        <v>54</v>
      </c>
      <c r="S17" s="38" t="s">
        <v>55</v>
      </c>
      <c r="T17" s="2"/>
      <c r="U17" s="2"/>
    </row>
    <row r="18" spans="1:21" ht="35" customHeight="1" thickTop="1" thickBot="1" x14ac:dyDescent="0.4">
      <c r="A18" s="42" t="s">
        <v>10</v>
      </c>
      <c r="B18" s="85">
        <v>4410</v>
      </c>
      <c r="C18" s="122">
        <v>6000</v>
      </c>
      <c r="D18" s="123"/>
      <c r="E18" s="57">
        <v>12600</v>
      </c>
      <c r="F18" s="85">
        <v>12600</v>
      </c>
      <c r="G18" s="87">
        <v>3500</v>
      </c>
      <c r="H18" s="57">
        <v>14490</v>
      </c>
      <c r="I18" s="59">
        <v>15400</v>
      </c>
      <c r="J18" s="58">
        <v>350</v>
      </c>
      <c r="K18" s="60">
        <v>11970</v>
      </c>
      <c r="L18" s="137">
        <v>17150</v>
      </c>
      <c r="M18" s="138"/>
      <c r="N18" s="76">
        <v>475.16</v>
      </c>
      <c r="O18" s="61">
        <v>10080</v>
      </c>
      <c r="P18" s="93">
        <v>10500</v>
      </c>
      <c r="Q18" s="98">
        <v>6480</v>
      </c>
      <c r="R18" s="90">
        <f>SUM(B18:Q18)</f>
        <v>126005.16</v>
      </c>
      <c r="S18" s="68">
        <f>V9+R18</f>
        <v>262477.63</v>
      </c>
      <c r="T18" s="2"/>
      <c r="U18" s="2"/>
    </row>
    <row r="19" spans="1:21" ht="15.5" thickTop="1" thickBot="1" x14ac:dyDescent="0.4">
      <c r="A19" s="41" t="s">
        <v>9</v>
      </c>
      <c r="B19" s="86">
        <v>5292</v>
      </c>
      <c r="C19" s="116">
        <v>7200</v>
      </c>
      <c r="D19" s="117"/>
      <c r="E19" s="62">
        <v>15120</v>
      </c>
      <c r="F19" s="86">
        <v>15120</v>
      </c>
      <c r="G19" s="88">
        <v>3500</v>
      </c>
      <c r="H19" s="64">
        <v>17388</v>
      </c>
      <c r="I19" s="65">
        <v>15400</v>
      </c>
      <c r="J19" s="63">
        <v>350</v>
      </c>
      <c r="K19" s="66">
        <v>14364</v>
      </c>
      <c r="L19" s="139">
        <v>17150</v>
      </c>
      <c r="M19" s="140"/>
      <c r="N19" s="149">
        <v>475.16</v>
      </c>
      <c r="O19" s="67">
        <v>12096</v>
      </c>
      <c r="P19" s="94">
        <v>10500</v>
      </c>
      <c r="Q19" s="97">
        <v>7776</v>
      </c>
      <c r="R19" s="91">
        <f>SUM(B19:Q19)</f>
        <v>141731.16</v>
      </c>
      <c r="S19" s="69">
        <f>V10+R19</f>
        <v>304890.63</v>
      </c>
    </row>
    <row r="20" spans="1:21" ht="31" customHeight="1" thickTop="1" x14ac:dyDescent="0.35">
      <c r="B20" s="30"/>
      <c r="C20" s="30"/>
      <c r="D20" s="30"/>
      <c r="E20" s="30"/>
      <c r="G20" s="2"/>
      <c r="K20" s="30"/>
      <c r="P20" s="30"/>
      <c r="S20" s="2"/>
    </row>
    <row r="21" spans="1:21" x14ac:dyDescent="0.35">
      <c r="R21" s="103" t="s">
        <v>58</v>
      </c>
      <c r="S21" s="103"/>
      <c r="T21" s="145">
        <v>290642.34000000003</v>
      </c>
      <c r="U21" s="145"/>
    </row>
    <row r="22" spans="1:21" x14ac:dyDescent="0.35">
      <c r="L22" s="99"/>
      <c r="P22" s="2"/>
      <c r="R22" s="145" t="s">
        <v>59</v>
      </c>
      <c r="S22" s="145"/>
      <c r="T22" s="146">
        <f>S19</f>
        <v>304890.63</v>
      </c>
      <c r="U22" s="145"/>
    </row>
    <row r="23" spans="1:21" x14ac:dyDescent="0.35">
      <c r="R23" s="145" t="s">
        <v>60</v>
      </c>
      <c r="S23" s="145"/>
      <c r="T23" s="146">
        <f>T22-T21</f>
        <v>14248.289999999979</v>
      </c>
      <c r="U23" s="145"/>
    </row>
    <row r="24" spans="1:21" x14ac:dyDescent="0.35">
      <c r="S24" s="2"/>
      <c r="T24" s="2"/>
    </row>
  </sheetData>
  <mergeCells count="46">
    <mergeCell ref="R23:S23"/>
    <mergeCell ref="T23:U23"/>
    <mergeCell ref="R22:S22"/>
    <mergeCell ref="T22:U22"/>
    <mergeCell ref="T21:U21"/>
    <mergeCell ref="F13:G13"/>
    <mergeCell ref="H13:I13"/>
    <mergeCell ref="I14:J14"/>
    <mergeCell ref="L18:M18"/>
    <mergeCell ref="L19:M19"/>
    <mergeCell ref="L15:M15"/>
    <mergeCell ref="L16:M16"/>
    <mergeCell ref="L17:M17"/>
    <mergeCell ref="T6:U6"/>
    <mergeCell ref="T7:U7"/>
    <mergeCell ref="T9:U9"/>
    <mergeCell ref="T10:U10"/>
    <mergeCell ref="L14:M14"/>
    <mergeCell ref="K13:M13"/>
    <mergeCell ref="O13:P13"/>
    <mergeCell ref="M6:N6"/>
    <mergeCell ref="M7:N7"/>
    <mergeCell ref="M8:N8"/>
    <mergeCell ref="M9:N9"/>
    <mergeCell ref="M10:N10"/>
    <mergeCell ref="O4:R4"/>
    <mergeCell ref="S4:U4"/>
    <mergeCell ref="P5:Q5"/>
    <mergeCell ref="T5:U5"/>
    <mergeCell ref="L4:N4"/>
    <mergeCell ref="M5:N5"/>
    <mergeCell ref="C19:D19"/>
    <mergeCell ref="B13:D13"/>
    <mergeCell ref="C14:D14"/>
    <mergeCell ref="C15:D15"/>
    <mergeCell ref="C16:D16"/>
    <mergeCell ref="C18:D18"/>
    <mergeCell ref="C17:D17"/>
    <mergeCell ref="C5:D5"/>
    <mergeCell ref="E4:F4"/>
    <mergeCell ref="B4:D4"/>
    <mergeCell ref="H8:K8"/>
    <mergeCell ref="H5:K5"/>
    <mergeCell ref="G4:K4"/>
    <mergeCell ref="E8:F8"/>
    <mergeCell ref="E5:F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64D4-2F1A-4F65-AA85-69CBF60354F7}">
  <dimension ref="A2:H18"/>
  <sheetViews>
    <sheetView zoomScale="70" zoomScaleNormal="70" workbookViewId="0">
      <selection activeCell="B12" sqref="B12:G19"/>
    </sheetView>
  </sheetViews>
  <sheetFormatPr baseColWidth="10" defaultRowHeight="14.5" x14ac:dyDescent="0.35"/>
  <cols>
    <col min="1" max="1" width="17.08984375" customWidth="1"/>
    <col min="2" max="2" width="16.453125" customWidth="1"/>
    <col min="3" max="3" width="14" customWidth="1"/>
    <col min="4" max="4" width="12.36328125" customWidth="1"/>
    <col min="5" max="5" width="27.453125" customWidth="1"/>
    <col min="6" max="6" width="23" customWidth="1"/>
    <col min="7" max="7" width="23.26953125" customWidth="1"/>
    <col min="8" max="8" width="18.08984375" customWidth="1"/>
    <col min="9" max="9" width="21.08984375" customWidth="1"/>
    <col min="10" max="11" width="20.08984375" customWidth="1"/>
  </cols>
  <sheetData>
    <row r="2" spans="1:8" ht="15" thickBot="1" x14ac:dyDescent="0.4">
      <c r="B2" s="31"/>
      <c r="C2" s="31"/>
      <c r="D2" s="31"/>
      <c r="E2" s="31"/>
      <c r="F2" s="2"/>
      <c r="G2" s="2"/>
      <c r="H2" s="2"/>
    </row>
    <row r="3" spans="1:8" ht="31" customHeight="1" thickTop="1" thickBot="1" x14ac:dyDescent="0.4">
      <c r="A3" s="19" t="s">
        <v>4</v>
      </c>
    </row>
    <row r="4" spans="1:8" ht="22.5" customHeight="1" thickBot="1" x14ac:dyDescent="0.4">
      <c r="A4" s="18" t="s">
        <v>3</v>
      </c>
    </row>
    <row r="5" spans="1:8" ht="15" thickBot="1" x14ac:dyDescent="0.4">
      <c r="A5" s="14" t="s">
        <v>0</v>
      </c>
    </row>
    <row r="6" spans="1:8" ht="15" thickBot="1" x14ac:dyDescent="0.4">
      <c r="A6" s="14" t="s">
        <v>1</v>
      </c>
    </row>
    <row r="7" spans="1:8" ht="15" thickBot="1" x14ac:dyDescent="0.4">
      <c r="A7" s="15" t="s">
        <v>2</v>
      </c>
    </row>
    <row r="8" spans="1:8" ht="15" thickBot="1" x14ac:dyDescent="0.4">
      <c r="A8" s="14" t="s">
        <v>10</v>
      </c>
    </row>
    <row r="9" spans="1:8" ht="15" thickBot="1" x14ac:dyDescent="0.4">
      <c r="A9" s="15" t="s">
        <v>9</v>
      </c>
    </row>
    <row r="10" spans="1:8" ht="15" thickTop="1" x14ac:dyDescent="0.35">
      <c r="A10" s="30"/>
    </row>
    <row r="11" spans="1:8" ht="15" thickBot="1" x14ac:dyDescent="0.4">
      <c r="B11" s="2"/>
      <c r="C11" s="2"/>
      <c r="D11" s="2"/>
      <c r="E11" s="2"/>
    </row>
    <row r="12" spans="1:8" ht="30.5" customHeight="1" thickBot="1" x14ac:dyDescent="0.4">
      <c r="A12" s="21" t="s">
        <v>4</v>
      </c>
    </row>
    <row r="13" spans="1:8" ht="22.5" customHeight="1" thickBot="1" x14ac:dyDescent="0.4">
      <c r="A13" s="18" t="s">
        <v>3</v>
      </c>
    </row>
    <row r="14" spans="1:8" ht="15.5" customHeight="1" thickBot="1" x14ac:dyDescent="0.4">
      <c r="A14" s="14" t="s">
        <v>0</v>
      </c>
    </row>
    <row r="15" spans="1:8" ht="15" thickBot="1" x14ac:dyDescent="0.4">
      <c r="A15" s="14" t="s">
        <v>1</v>
      </c>
    </row>
    <row r="16" spans="1:8" ht="15" thickBot="1" x14ac:dyDescent="0.4">
      <c r="A16" s="15" t="s">
        <v>2</v>
      </c>
    </row>
    <row r="17" spans="1:1" ht="15" thickBot="1" x14ac:dyDescent="0.4">
      <c r="A17" s="14" t="s">
        <v>10</v>
      </c>
    </row>
    <row r="18" spans="1:1" ht="29" customHeight="1" thickBot="1" x14ac:dyDescent="0.4">
      <c r="A18" s="16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2024-10-08T11:32:51Z</dcterms:created>
  <dcterms:modified xsi:type="dcterms:W3CDTF">2025-03-12T22:32:08Z</dcterms:modified>
</cp:coreProperties>
</file>